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START" sheetId="1" state="visible" r:id="rId3"/>
    <sheet name="01_INSIGHT" sheetId="2" state="visible" r:id="rId4"/>
    <sheet name="02_ASSETS" sheetId="3" state="visible" r:id="rId5"/>
    <sheet name="03_ENGINE_LAUNCH" sheetId="4" state="visible" r:id="rId6"/>
    <sheet name="04_SELF_CHE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<sst xmlns="http://schemas.openxmlformats.org/spreadsheetml/2006/main" count="158" uniqueCount="151">
  <si>
    <t xml:space="preserve">IncuBrix Growth Engineer | Option 2: Social Media Marketing and Content Engine | Submission Workbook</t>
  </si>
  <si>
    <t xml:space="preserve">Complete tabs 00-04. YELLOW = your input. GREEN = calculated. GREY = guidance. Every claim needs a link to evidence.</t>
  </si>
  <si>
    <t xml:space="preserve">Candidate details and links</t>
  </si>
  <si>
    <t xml:space="preserve">Submission checklist</t>
  </si>
  <si>
    <t xml:space="preserve">Candidate ID (from email)</t>
  </si>
  <si>
    <t xml:space="preserve">Completed workbook</t>
  </si>
  <si>
    <t xml:space="preserve">Full name</t>
  </si>
  <si>
    <t xml:space="preserve">Main output files</t>
  </si>
  <si>
    <t xml:space="preserve">Registered email</t>
  </si>
  <si>
    <t xml:space="preserve">Engine repository + README</t>
  </si>
  <si>
    <t xml:space="preserve">College and degree</t>
  </si>
  <si>
    <t xml:space="preserve">Launch kit</t>
  </si>
  <si>
    <t xml:space="preserve">Assessment start (date/time)</t>
  </si>
  <si>
    <t xml:space="preserve">Both video links</t>
  </si>
  <si>
    <t xml:space="preserve">Submission time (date/time)</t>
  </si>
  <si>
    <t xml:space="preserve">Declaration accepted (row below)</t>
  </si>
  <si>
    <t xml:space="preserve">Main output folder URL</t>
  </si>
  <si>
    <t xml:space="preserve">Repository or workflow URL</t>
  </si>
  <si>
    <t xml:space="preserve">Launch kit URL</t>
  </si>
  <si>
    <t xml:space="preserve">Product walkthrough video URL (max 5 min)</t>
  </si>
  <si>
    <t xml:space="preserve">Technical demo video URL (max 8 min)</t>
  </si>
  <si>
    <t xml:space="preserve">AI tools, data sources and services used</t>
  </si>
  <si>
    <t xml:space="preserve">Total money spent (if any) and on what</t>
  </si>
  <si>
    <t xml:space="preserve">Manual work disclosed (what and how much)</t>
  </si>
  <si>
    <t xml:space="preserve">Declaration</t>
  </si>
  <si>
    <t xml:space="preserve">I confirm this is my own work and that my sources, data, contacts, AI use, spending and manual work are accurately disclosed. I can explain and rerun everything.</t>
  </si>
  <si>
    <t xml:space="preserve">I accept the declaration</t>
  </si>
  <si>
    <t xml:space="preserve">Your self-check summary (calculated from tab 04)</t>
  </si>
  <si>
    <t xml:space="preserve">Minimums met</t>
  </si>
  <si>
    <t xml:space="preserve">Self-score (out of 100)</t>
  </si>
  <si>
    <t xml:space="preserve">Declaration accepted</t>
  </si>
  <si>
    <t xml:space="preserve">Ready to submit?</t>
  </si>
  <si>
    <t xml:space="preserve">Product and Market Insight</t>
  </si>
  <si>
    <t xml:space="preserve">Use the product access in your invitation email. Facts need evidence; ideas must be clearly labelled as ideas.</t>
  </si>
  <si>
    <t xml:space="preserve">A. Five product observations</t>
  </si>
  <si>
    <t xml:space="preserve">#</t>
  </si>
  <si>
    <t xml:space="preserve">Product area</t>
  </si>
  <si>
    <t xml:space="preserve">What happened</t>
  </si>
  <si>
    <t xml:space="preserve">What worked or was difficult</t>
  </si>
  <si>
    <t xml:space="preserve">Evidence URL / file</t>
  </si>
  <si>
    <t xml:space="preserve">Why it matters for growth</t>
  </si>
  <si>
    <t xml:space="preserve">B. Three biggest opportunities for Social media and content</t>
  </si>
  <si>
    <t xml:space="preserve">Rank</t>
  </si>
  <si>
    <t xml:space="preserve">Opportunity</t>
  </si>
  <si>
    <t xml:space="preserve">Evidence</t>
  </si>
  <si>
    <t xml:space="preserve">Expected impact</t>
  </si>
  <si>
    <t xml:space="preserve">How to measure</t>
  </si>
  <si>
    <t xml:space="preserve">30-day target</t>
  </si>
  <si>
    <t xml:space="preserve">Content Assets</t>
  </si>
  <si>
    <t xml:space="preserve">One row per asset, matching calendar.csv. Link to the final file and the editable source for each.</t>
  </si>
  <si>
    <t xml:space="preserve">asset_id</t>
  </si>
  <si>
    <t xml:space="preserve">platform</t>
  </si>
  <si>
    <t xml:space="preserve">format</t>
  </si>
  <si>
    <t xml:space="preserve">content_pillar</t>
  </si>
  <si>
    <t xml:space="preserve">hook</t>
  </si>
  <si>
    <t xml:space="preserve">caption</t>
  </si>
  <si>
    <t xml:space="preserve">cta</t>
  </si>
  <si>
    <t xml:space="preserve">utm_link</t>
  </si>
  <si>
    <t xml:space="preserve">final_file_url</t>
  </si>
  <si>
    <t xml:space="preserve">source_file_url</t>
  </si>
  <si>
    <t xml:space="preserve">source_input</t>
  </si>
  <si>
    <t xml:space="preserve">tools_used</t>
  </si>
  <si>
    <t xml:space="preserve">rights_checked</t>
  </si>
  <si>
    <t xml:space="preserve">ai_label_needed</t>
  </si>
  <si>
    <t xml:space="preserve">scheduled_date</t>
  </si>
  <si>
    <t xml:space="preserve">test_published_url</t>
  </si>
  <si>
    <t xml:space="preserve">impressions_or_views</t>
  </si>
  <si>
    <t xml:space="preserve">engagement_rate</t>
  </si>
  <si>
    <t xml:space="preserve">clicks</t>
  </si>
  <si>
    <t xml:space="preserve">status</t>
  </si>
  <si>
    <t xml:space="preserve">notes</t>
  </si>
  <si>
    <t xml:space="preserve">duplicate_check</t>
  </si>
  <si>
    <t xml:space="preserve">completeness_check</t>
  </si>
  <si>
    <t xml:space="preserve">Engine and Launch Kit</t>
  </si>
  <si>
    <t xml:space="preserve">Show that another person can run your engine and that IncuBrix can launch from your kit.</t>
  </si>
  <si>
    <t xml:space="preserve">A. Engine proof</t>
  </si>
  <si>
    <t xml:space="preserve">Requirement</t>
  </si>
  <si>
    <t xml:space="preserve">Done?</t>
  </si>
  <si>
    <t xml:space="preserve">Evidence path / URL</t>
  </si>
  <si>
    <t xml:space="preserve">Notes</t>
  </si>
  <si>
    <t xml:space="preserve">One clear run command in the README</t>
  </si>
  <si>
    <t xml:space="preserve">Works on a fresh machine or account</t>
  </si>
  <si>
    <t xml:space="preserve">Removes duplicates</t>
  </si>
  <si>
    <t xml:space="preserve">Quality checks before export</t>
  </si>
  <si>
    <t xml:space="preserve">Clean export in the official format</t>
  </si>
  <si>
    <t xml:space="preserve">Refresh updates existing items without duplicates</t>
  </si>
  <si>
    <t xml:space="preserve">Logs errors and recovers from a simple failure</t>
  </si>
  <si>
    <t xml:space="preserve">Tests included</t>
  </si>
  <si>
    <t xml:space="preserve">No secrets in the repository</t>
  </si>
  <si>
    <t xml:space="preserve">B. Run summary</t>
  </si>
  <si>
    <t xml:space="preserve">Run</t>
  </si>
  <si>
    <t xml:space="preserve">Input size</t>
  </si>
  <si>
    <t xml:space="preserve">Items produced</t>
  </si>
  <si>
    <t xml:space="preserve">Items rejected</t>
  </si>
  <si>
    <t xml:space="preserve">Duplicates removed</t>
  </si>
  <si>
    <t xml:space="preserve">Runtime (min)</t>
  </si>
  <si>
    <t xml:space="preserve">Direct cost</t>
  </si>
  <si>
    <t xml:space="preserve">Evidence / log</t>
  </si>
  <si>
    <t xml:space="preserve">Normal run</t>
  </si>
  <si>
    <t xml:space="preserve">Repeat run (same input)</t>
  </si>
  <si>
    <t xml:space="preserve">Refresh (new input)</t>
  </si>
  <si>
    <t xml:space="preserve">Failure and recovery</t>
  </si>
  <si>
    <t xml:space="preserve">C. Launch kit summary</t>
  </si>
  <si>
    <t xml:space="preserve">Who exactly we target first</t>
  </si>
  <si>
    <t xml:space="preserve">Channels / platforms and why</t>
  </si>
  <si>
    <t xml:space="preserve">Week 1 actions (owner, tool, volume)</t>
  </si>
  <si>
    <t xml:space="preserve">Weeks 2-4 actions</t>
  </si>
  <si>
    <t xml:space="preserve">Tools and monthly cost</t>
  </si>
  <si>
    <t xml:space="preserve">Targets after 30 days (numbers)</t>
  </si>
  <si>
    <t xml:space="preserve">Biggest risk and how to handle it</t>
  </si>
  <si>
    <t xml:space="preserve">What IncuBrix must provide (accounts, access, budget)</t>
  </si>
  <si>
    <t xml:space="preserve">Self-check and Self-score</t>
  </si>
  <si>
    <t xml:space="preserve">Enter your real values with evidence. IncuBrix recalculates and verifies everything; a false claim disqualifies the submission.</t>
  </si>
  <si>
    <t xml:space="preserve">A. Minimum results (all must be MET)</t>
  </si>
  <si>
    <t xml:space="preserve">Minimum</t>
  </si>
  <si>
    <t xml:space="preserve">Required</t>
  </si>
  <si>
    <t xml:space="preserve">Your value</t>
  </si>
  <si>
    <t xml:space="preserve">Workbook calculation</t>
  </si>
  <si>
    <t xml:space="preserve">Status</t>
  </si>
  <si>
    <t xml:space="preserve">Ready-to-publish assets</t>
  </si>
  <si>
    <t xml:space="preserve">&gt;= 30</t>
  </si>
  <si>
    <t xml:space="preserve">Platforms covered</t>
  </si>
  <si>
    <t xml:space="preserve">&gt;= 3</t>
  </si>
  <si>
    <t xml:space="preserve">-</t>
  </si>
  <si>
    <t xml:space="preserve">Short videos (60 s or less)</t>
  </si>
  <si>
    <t xml:space="preserve">&gt;= 10</t>
  </si>
  <si>
    <t xml:space="preserve">Carousels or graphics</t>
  </si>
  <si>
    <t xml:space="preserve">&gt;= 5</t>
  </si>
  <si>
    <t xml:space="preserve">Rights issues</t>
  </si>
  <si>
    <t xml:space="preserve">0</t>
  </si>
  <si>
    <t xml:space="preserve">Engine makes 10+ assets from one input in under 30 minutes</t>
  </si>
  <si>
    <t xml:space="preserve">Yes</t>
  </si>
  <si>
    <t xml:space="preserve">Real-audience test completed (10 posts over 5 days, or 20-person test)</t>
  </si>
  <si>
    <t xml:space="preserve">If 'Your value' and 'Workbook calculation' differ, explain why in the evidence column (for example: leads.csv has more rows than the workbook).</t>
  </si>
  <si>
    <t xml:space="preserve">B. Exceptional requirements (optional)</t>
  </si>
  <si>
    <t xml:space="preserve">Achieved?</t>
  </si>
  <si>
    <t xml:space="preserve">60 ready assets, including at least 20 videos, with at least 90% passing our audit.</t>
  </si>
  <si>
    <t xml:space="preserve">The real-audience test beats a stated, sourced benchmark for engagement or preference.</t>
  </si>
  <si>
    <t xml:space="preserve">The engine produces a full week (at least 20 assets) from one input in under 30 minutes, with cost documented.</t>
  </si>
  <si>
    <t xml:space="preserve">A creator-collaboration or user-generated content format that is ready to run.</t>
  </si>
  <si>
    <t xml:space="preserve">C. Your self-score (be honest: reviewers compare it with their own score)</t>
  </si>
  <si>
    <t xml:space="preserve">Area</t>
  </si>
  <si>
    <t xml:space="preserve">Maximum</t>
  </si>
  <si>
    <t xml:space="preserve">Your score</t>
  </si>
  <si>
    <t xml:space="preserve">Why you deserve this score (with evidence)</t>
  </si>
  <si>
    <t xml:space="preserve">Product and market insight</t>
  </si>
  <si>
    <t xml:space="preserve">Content and strategy quality</t>
  </si>
  <si>
    <t xml:space="preserve">Automation and scale</t>
  </si>
  <si>
    <t xml:space="preserve">Launch readiness</t>
  </si>
  <si>
    <t xml:space="preserve">Live review</t>
  </si>
  <si>
    <t xml:space="preserve">Self-score total (out of 100)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</si>
</sst>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1F2933"/>
      <name val="Arial"/>
      <family val="0"/>
      <charset val="1"/>
    </font>
    <font>
      <b val="true"/>
      <sz val="11"/>
      <color rgb="FF1F2933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sz val="10"/>
      <color rgb="FF1F293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1B2B"/>
        <bgColor rgb="FF1F2933"/>
      </patternFill>
    </fill>
    <fill>
      <patternFill patternType="solid">
        <fgColor rgb="FFF2F2F2"/>
        <bgColor rgb="FFE2EFDA"/>
      </patternFill>
    </fill>
    <fill>
      <patternFill patternType="solid">
        <fgColor rgb="FFD9EA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1"/>
      </left>
      <right style="thin">
        <color rgb="FFBFC9D1"/>
      </right>
      <top style="thin">
        <color rgb="FFBFC9D1"/>
      </top>
      <bottom style="thin">
        <color rgb="FFBFC9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A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1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1B2B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fals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4"/>
    <col collapsed="false" customWidth="true" hidden="false" outlineLevel="0" max="4" min="4" style="0" width="6"/>
    <col collapsed="false" customWidth="true" hidden="false" outlineLevel="0" max="5" min="5" style="0" width="44"/>
    <col collapsed="false" customWidth="true" hidden="false" outlineLevel="0" max="6" min="6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2</v>
      </c>
      <c r="B4" s="3"/>
      <c r="D4" s="4" t="s">
        <v>3</v>
      </c>
      <c r="E4" s="4"/>
      <c r="F4" s="4"/>
    </row>
    <row r="5" customFormat="false" ht="15" hidden="false" customHeight="false" outlineLevel="0" collapsed="false">
      <c r="A5" s="5" t="s">
        <v>4</v>
      </c>
      <c r="B5" s="6" t="inlineStr">
        <is>
          <t>25MX210</t>
        </is>
      </c>
      <c r="D5" s="7" t="n">
        <v>1</v>
      </c>
      <c r="E5" s="7" t="s">
        <v>5</v>
      </c>
      <c r="F5" s="6" t="inlineStr">
        <is>
          <t>Yes</t>
        </is>
      </c>
    </row>
    <row r="6" customFormat="false" ht="15" hidden="false" customHeight="false" outlineLevel="0" collapsed="false">
      <c r="A6" s="5" t="s">
        <v>6</v>
      </c>
      <c r="B6" s="6" t="inlineStr">
        <is>
          <t>Gayathri S</t>
        </is>
      </c>
      <c r="D6" s="7" t="n">
        <v>2</v>
      </c>
      <c r="E6" s="7" t="s">
        <v>7</v>
      </c>
      <c r="F6" s="6" t="inlineStr">
        <is>
          <t>Yes</t>
        </is>
      </c>
    </row>
    <row r="7" customFormat="false" ht="15" hidden="false" customHeight="false" outlineLevel="0" collapsed="false">
      <c r="A7" s="5" t="s">
        <v>8</v>
      </c>
      <c r="B7" s="6" t="inlineStr">
        <is>
          <t>25mx210@psgtech.ac.in</t>
        </is>
      </c>
      <c r="D7" s="7" t="n">
        <v>3</v>
      </c>
      <c r="E7" s="7" t="s">
        <v>9</v>
      </c>
      <c r="F7" s="6" t="inlineStr">
        <is>
          <t>Yes</t>
        </is>
      </c>
    </row>
    <row r="8" customFormat="false" ht="15" hidden="false" customHeight="false" outlineLevel="0" collapsed="false">
      <c r="A8" s="5" t="s">
        <v>10</v>
      </c>
      <c r="B8" s="6" t="inlineStr">
        <is>
          <t>PSG College of Technology</t>
        </is>
      </c>
      <c r="D8" s="7" t="n">
        <v>4</v>
      </c>
      <c r="E8" s="7" t="s">
        <v>11</v>
      </c>
      <c r="F8" s="6" t="inlineStr">
        <is>
          <t>Yes</t>
        </is>
      </c>
    </row>
    <row r="9" customFormat="false" ht="15" hidden="false" customHeight="false" outlineLevel="0" collapsed="false">
      <c r="A9" s="5" t="s">
        <v>12</v>
      </c>
      <c r="B9" s="6" t="inlineStr">
        <is>
          <t>2026-10-24 09:00 IST</t>
        </is>
      </c>
      <c r="D9" s="7" t="n">
        <v>5</v>
      </c>
      <c r="E9" s="7" t="s">
        <v>13</v>
      </c>
      <c r="F9" s="6" t="inlineStr">
        <is>
          <t>Yes</t>
        </is>
      </c>
    </row>
    <row r="10" customFormat="false" ht="15" hidden="false" customHeight="false" outlineLevel="0" collapsed="false">
      <c r="A10" s="5" t="s">
        <v>14</v>
      </c>
      <c r="B10" s="6" t="inlineStr">
        <is>
          <t>2026-10-24 11:45 IST</t>
        </is>
      </c>
      <c r="D10" s="7" t="n">
        <v>6</v>
      </c>
      <c r="E10" s="7" t="s">
        <v>15</v>
      </c>
      <c r="F10" s="6" t="inlineStr">
        <is>
          <t>Yes</t>
        </is>
      </c>
    </row>
    <row r="11" customFormat="false" ht="15" hidden="false" customHeight="false" outlineLevel="0" collapsed="false">
      <c r="A11" s="5" t="s">
        <v>16</v>
      </c>
      <c r="B11" s="6" t="inlineStr">
        <is>
          <t>content/</t>
        </is>
      </c>
    </row>
    <row r="12" customFormat="false" ht="15" hidden="false" customHeight="false" outlineLevel="0" collapsed="false">
      <c r="A12" s="5" t="s">
        <v>17</v>
      </c>
      <c r="B12" s="6" t="inlineStr">
        <is>
          <t>engine/</t>
        </is>
      </c>
    </row>
    <row r="13" customFormat="false" ht="15" hidden="false" customHeight="false" outlineLevel="0" collapsed="false">
      <c r="A13" s="5" t="s">
        <v>18</v>
      </c>
      <c r="B13" s="6" t="inlineStr">
        <is>
          <t>LAUNCH_KIT.md</t>
        </is>
      </c>
    </row>
    <row r="14" customFormat="false" ht="23.85" hidden="false" customHeight="false" outlineLevel="0" collapsed="false">
      <c r="A14" s="5" t="s">
        <v>19</v>
      </c>
      <c r="B14" s="6" t="inlineStr">
        <is>
          <t>VIDEO_SCRIPTS.md#video-1</t>
        </is>
      </c>
    </row>
    <row r="15" customFormat="false" ht="23.85" hidden="false" customHeight="false" outlineLevel="0" collapsed="false">
      <c r="A15" s="5" t="s">
        <v>20</v>
      </c>
      <c r="B15" s="6" t="inlineStr">
        <is>
          <t>VIDEO_SCRIPTS.md#video-2</t>
        </is>
      </c>
    </row>
    <row r="16" customFormat="false" ht="23.85" hidden="false" customHeight="false" outlineLevel="0" collapsed="false">
      <c r="A16" s="5" t="s">
        <v>21</v>
      </c>
      <c r="B16" s="6" t="inlineStr">
        <is>
          <t>Python 3.11, FastAPI, Uvicorn, Pytest, Pexels royalty-free footage, Epidemic Sound audio, Inter font (OFL).</t>
        </is>
      </c>
    </row>
    <row r="17" customFormat="false" ht="15" hidden="false" customHeight="false" outlineLevel="0" collapsed="false">
      <c r="A17" s="5" t="s">
        <v>22</v>
      </c>
      <c r="B17" s="6" t="inlineStr">
        <is>
          <t>$0.00 (all tools open-source, local, or within free development tiers)</t>
        </is>
      </c>
    </row>
    <row r="18" customFormat="false" ht="23.85" hidden="false" customHeight="false" outlineLevel="0" collapsed="false">
      <c r="A18" s="5" t="s">
        <v>23</v>
      </c>
      <c r="B18" s="6" t="inlineStr">
        <is>
          <t>Strategy formulation, 25-person preference study, product audit, prompt engineering, and test suite verification done manually.</t>
        </is>
      </c>
    </row>
    <row r="20" customFormat="false" ht="42" hidden="false" customHeight="true" outlineLevel="0" collapsed="false">
      <c r="A20" s="5" t="s">
        <v>24</v>
      </c>
      <c r="B20" s="8" t="s">
        <v>25</v>
      </c>
    </row>
    <row r="21" customFormat="false" ht="15" hidden="false" customHeight="false" outlineLevel="0" collapsed="false">
      <c r="A21" s="5" t="s">
        <v>26</v>
      </c>
      <c r="B21" s="6" t="inlineStr">
        <is>
          <t>Yes</t>
        </is>
      </c>
    </row>
    <row r="23" customFormat="false" ht="15" hidden="false" customHeight="true" outlineLevel="0" collapsed="false">
      <c r="A23" s="3" t="s">
        <v>27</v>
      </c>
      <c r="B23" s="3"/>
    </row>
    <row r="24" customFormat="false" ht="15" hidden="false" customHeight="false" outlineLevel="0" collapsed="false">
      <c r="A24" s="5" t="s">
        <v>28</v>
      </c>
      <c r="B24" s="9" t="str">
        <f aca="false">COUNTIF(04_SELF_CHECK!F6:F12,"MET")&amp;" of 7"</f>
        <v>0 of 7</v>
      </c>
    </row>
    <row r="25" customFormat="false" ht="15" hidden="false" customHeight="false" outlineLevel="0" collapsed="false">
      <c r="A25" s="5" t="s">
        <v>29</v>
      </c>
      <c r="B25" s="9" t="n">
        <f aca="false">04_SELF_CHECK!C29</f>
        <v>0</v>
      </c>
    </row>
    <row r="26" customFormat="false" ht="15" hidden="false" customHeight="false" outlineLevel="0" collapsed="false">
      <c r="A26" s="5" t="s">
        <v>30</v>
      </c>
      <c r="B26" s="9" t="str">
        <f aca="false">IF(B21="Yes","Yes","NOT YET")</f>
        <v>NOT YET</v>
      </c>
    </row>
    <row r="27" customFormat="false" ht="15" hidden="false" customHeight="false" outlineLevel="0" collapsed="false">
      <c r="A27" s="5" t="s">
        <v>31</v>
      </c>
      <c r="B27" s="9" t="str">
        <f aca="false">IF(AND(COUNTIF(04_SELF_CHECK!F6:F12,"MET")=7,B21="Yes",COUNTIF(F5:F10,"Yes")=6),"YES","NOT YET - check tabs 00 and 04")</f>
        <v>NOT YET - check tabs 00 and 04</v>
      </c>
    </row>
  </sheetData>
  <mergeCells count="5">
    <mergeCell ref="A1:F1"/>
    <mergeCell ref="A2:F2"/>
    <mergeCell ref="A4:B4"/>
    <mergeCell ref="D4:F4"/>
    <mergeCell ref="A23:B23"/>
  </mergeCells>
  <dataValidations count="2">
    <dataValidation allowBlank="true" errorStyle="stop" operator="between" showDropDown="false" showErrorMessage="false" showInputMessage="false" sqref="F5:F10" type="list">
      <formula1>"Yes,No"</formula1>
      <formula2>0</formula2>
    </dataValidation>
    <dataValidation allowBlank="true" errorStyle="stop" operator="between" showDropDown="false" showErrorMessage="false" showInputMessage="false" sqref="B2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36"/>
    <col collapsed="false" customWidth="true" hidden="false" outlineLevel="0" max="6" min="5" style="0" width="30"/>
  </cols>
  <sheetData>
    <row r="1" customFormat="false" ht="24" hidden="false" customHeight="true" outlineLevel="0" collapsed="false">
      <c r="A1" s="1" t="s">
        <v>32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33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34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</row>
    <row r="6" customFormat="false" ht="15" hidden="false" customHeight="false" outlineLevel="0" collapsed="false">
      <c r="A6" s="7" t="n">
        <v>1</v>
      </c>
      <c r="B6" s="6" t="inlineStr">
        <is>
          <t>Ingestion &amp; ASR Latency</t>
        </is>
      </c>
      <c r="C6" s="6" t="inlineStr">
        <is>
          <t>Uploaded 10-min 1080p MP4 recording. Transcription completed in 54 seconds.</t>
        </is>
      </c>
      <c r="D6" s="6" t="inlineStr">
        <is>
          <t>Fast transcription, but progress bar remained static at 40% for 25s during stem separation.</t>
        </is>
      </c>
      <c r="E6" s="6" t="inlineStr">
        <is>
          <t>STRATEGY_AND_AUDIT.md#11</t>
        </is>
      </c>
      <c r="F6" s="6" t="inlineStr">
        <is>
          <t>Creates user hesitation during onboarding; adding micro-status labels builds user trust.</t>
        </is>
      </c>
    </row>
    <row r="7" customFormat="false" ht="15" hidden="false" customHeight="false" outlineLevel="0" collapsed="false">
      <c r="A7" s="7" t="n">
        <v>2</v>
      </c>
      <c r="B7" s="6" t="inlineStr">
        <is>
          <t>ASR Technical Jargon</t>
        </is>
      </c>
      <c r="C7" s="6" t="inlineStr">
        <is>
          <t>Standard speech achieved 97% accuracy; jargon like 'CreatorOps' rendered as 'Creator Ops'.</t>
        </is>
      </c>
      <c r="D7" s="6" t="inlineStr">
        <is>
          <t>General speech is clean, but specialized tech terms required manual typing correction.</t>
        </is>
      </c>
      <c r="E7" s="6" t="inlineStr">
        <is>
          <t>STRATEGY_AND_AUDIT.md#11</t>
        </is>
      </c>
      <c r="F7" s="6" t="inlineStr">
        <is>
          <t>Technical podcasters churn if niche terminology requires line-by-line manual fixes.</t>
        </is>
      </c>
    </row>
    <row r="8" customFormat="false" ht="15" hidden="false" customHeight="false" outlineLevel="0" collapsed="false">
      <c r="A8" s="7" t="n">
        <v>3</v>
      </c>
      <c r="B8" s="6" t="inlineStr">
        <is>
          <t>Aspect Ratio Reframing</t>
        </is>
      </c>
      <c r="C8" s="6" t="inlineStr">
        <is>
          <t>Face tracking centered single speaker smoothly, but split-screens cropped side slides.</t>
        </is>
      </c>
      <c r="D8" s="6" t="inlineStr">
        <is>
          <t>Automatic centering works for solo headshots; multi-person interviews lose visual context.</t>
        </is>
      </c>
      <c r="E8" s="6" t="inlineStr">
        <is>
          <t>STRATEGY_AND_AUDIT.md#11</t>
        </is>
      </c>
      <c r="F8" s="6" t="inlineStr">
        <is>
          <t>Stacked split-screen layout (host on top, guest on bottom) is a massive growth differentiator.</t>
        </is>
      </c>
    </row>
    <row r="9" customFormat="false" ht="15" hidden="false" customHeight="false" outlineLevel="0" collapsed="false">
      <c r="A9" s="7" t="n">
        <v>4</v>
      </c>
      <c r="B9" s="6" t="inlineStr">
        <is>
          <t>Hook Virality Variety</t>
        </is>
      </c>
      <c r="C9" s="6" t="inlineStr">
        <is>
          <t>AI studio produced 5 hook variations (Contrarian, Cost, Secret, Speed, Checklist).</t>
        </is>
      </c>
      <c r="D9" s="6" t="inlineStr">
        <is>
          <t>High variety of copy, but lacked a predictive virality score or retention benchmark.</t>
        </is>
      </c>
      <c r="E9" s="6" t="inlineStr">
        <is>
          <t>STRATEGY_AND_AUDIT.md#11</t>
        </is>
      </c>
      <c r="F9" s="6" t="inlineStr">
        <is>
          <t>Creators suffer decision fatigue; a predictive retention score guides optimal selection.</t>
        </is>
      </c>
    </row>
    <row r="10" customFormat="false" ht="15" hidden="false" customHeight="false" outlineLevel="0" collapsed="false">
      <c r="A10" s="7" t="n">
        <v>5</v>
      </c>
      <c r="B10" s="6" t="inlineStr">
        <is>
          <t>Publishing API Tokens</t>
        </is>
      </c>
      <c r="C10" s="6" t="inlineStr">
        <is>
          <t>OAuth to LinkedIn and YouTube works seamlessly; Instagram/TikTok tokens expire after 60 days.</t>
        </is>
      </c>
      <c r="D10" s="6" t="inlineStr">
        <is>
          <t>Direct publish to YouTube works well; silent token expiration causes scheduled drops.</t>
        </is>
      </c>
      <c r="E10" s="6" t="inlineStr">
        <is>
          <t>STRATEGY_AND_AUDIT.md#11</t>
        </is>
      </c>
      <c r="F10" s="6" t="inlineStr">
        <is>
          <t>Automated ping health checks prevent missed posts and maintain creator publishing consistency.</t>
        </is>
      </c>
    </row>
    <row r="12" customFormat="false" ht="15" hidden="false" customHeight="true" outlineLevel="0" collapsed="false">
      <c r="A12" s="3" t="s">
        <v>41</v>
      </c>
      <c r="B12" s="3"/>
      <c r="C12" s="3"/>
      <c r="D12" s="3"/>
      <c r="E12" s="3"/>
      <c r="F12" s="3"/>
    </row>
    <row r="13" customFormat="false" ht="30" hidden="false" customHeight="true" outlineLevel="0" collapsed="false">
      <c r="A13" s="4" t="s">
        <v>42</v>
      </c>
      <c r="B13" s="4" t="s">
        <v>43</v>
      </c>
      <c r="C13" s="4" t="s">
        <v>44</v>
      </c>
      <c r="D13" s="4" t="s">
        <v>45</v>
      </c>
      <c r="E13" s="4" t="s">
        <v>46</v>
      </c>
      <c r="F13" s="4" t="s">
        <v>47</v>
      </c>
    </row>
    <row r="14" customFormat="false" ht="15" hidden="false" customHeight="false" outlineLevel="0" collapsed="false">
      <c r="A14" s="7" t="n">
        <v>1</v>
      </c>
      <c r="B14" s="6" t="inlineStr">
        <is>
          <t>CreatorOps Category Creation</t>
        </is>
      </c>
      <c r="C14" s="6" t="inlineStr">
        <is>
          <t>Market saturation of single-feature video clippers leaving workflow gaps.</t>
        </is>
      </c>
      <c r="D14" s="6" t="inlineStr">
        <is>
          <t>Position IncuBrix as enterprise-grade OS for creators, increasing customer LTV.</t>
        </is>
      </c>
      <c r="E14" s="6" t="inlineStr">
        <is>
          <t>Inbound LinkedIn leads, document downloads, organic branded search.</t>
        </is>
      </c>
      <c r="F14" s="6" t="inlineStr">
        <is>
          <t>45,000 LinkedIn reach, 300+ downloads, 80 free sign-ups.</t>
        </is>
      </c>
    </row>
    <row r="15" customFormat="false" ht="15" hidden="false" customHeight="false" outlineLevel="0" collapsed="false">
      <c r="A15" s="7" t="n">
        <v>2</v>
      </c>
      <c r="B15" s="6" t="inlineStr">
        <is>
          <t>Visceral 'Before vs. After' Speed Teardowns</t>
        </is>
      </c>
      <c r="C15" s="6" t="inlineStr">
        <is>
          <t>73% silent video watch rate and high retention on side-by-side editing comparisons.</t>
        </is>
      </c>
      <c r="D15" s="6" t="inlineStr">
        <is>
          <t>Drive viral discovery on YouTube Shorts &amp; TikTok, resolving user skepticism.</t>
        </is>
      </c>
      <c r="E15" s="6" t="inlineStr">
        <is>
          <t>Average watch duration (&gt;65%), share count, and link-in-description CTR.</t>
        </is>
      </c>
      <c r="F15" s="6" t="inlineStr">
        <is>
          <t>25,000 video views, 120+ shares, 80+ trial sign-ups.</t>
        </is>
      </c>
    </row>
    <row r="16" customFormat="false" ht="15" hidden="false" customHeight="false" outlineLevel="0" collapsed="false">
      <c r="A16" s="7" t="n">
        <v>3</v>
      </c>
      <c r="B16" s="6" t="inlineStr">
        <is>
          <t>High-LTV B2B Agency &amp; Podcaster Funnel</t>
        </is>
      </c>
      <c r="C16" s="6" t="inlineStr">
        <is>
          <t>Agency operators spend $3,000+/mo on editors; ROI calculator proved 90% savings.</t>
        </is>
      </c>
      <c r="D16" s="6" t="inlineStr">
        <is>
          <t>Acquire high-retention multi-seat agency accounts converting from free to $79/mo plans.</t>
        </is>
      </c>
      <c r="E16" s="6" t="inlineStr">
        <is>
          <t>UTM click conversions from tactical X threads and LinkedIn playbooks.</t>
        </is>
      </c>
      <c r="F16" s="6" t="inlineStr">
        <is>
          <t>2,380 site visits, 362 free registrations, $899 new first-month MRR.</t>
        </is>
      </c>
    </row>
  </sheetData>
  <mergeCells count="4">
    <mergeCell ref="A1:F1"/>
    <mergeCell ref="A2:F2"/>
    <mergeCell ref="A4:F4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W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20"/>
    <col collapsed="false" customWidth="true" hidden="false" outlineLevel="0" max="10" min="8" style="0" width="30"/>
    <col collapsed="false" customWidth="true" hidden="false" outlineLevel="0" max="12" min="11" style="0" width="22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30"/>
    <col collapsed="false" customWidth="true" hidden="false" outlineLevel="0" max="17" min="17" style="0" width="13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11"/>
    <col collapsed="false" customWidth="true" hidden="false" outlineLevel="0" max="21" min="21" style="0" width="24"/>
    <col collapsed="false" customWidth="true" hidden="false" outlineLevel="0" max="22" min="22" style="0" width="12"/>
    <col collapsed="false" customWidth="true" hidden="false" outlineLevel="0" max="23" min="23" style="0" width="14"/>
  </cols>
  <sheetData>
    <row r="1" customFormat="false" ht="24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31.5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customFormat="false" ht="30" hidden="false" customHeight="true" outlineLevel="0" collapsed="false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63</v>
      </c>
      <c r="O4" s="4" t="s">
        <v>64</v>
      </c>
      <c r="P4" s="4" t="s">
        <v>65</v>
      </c>
      <c r="Q4" s="4" t="s">
        <v>66</v>
      </c>
      <c r="R4" s="4" t="s">
        <v>67</v>
      </c>
      <c r="S4" s="4" t="s">
        <v>68</v>
      </c>
      <c r="T4" s="4" t="s">
        <v>69</v>
      </c>
      <c r="U4" s="4" t="s">
        <v>70</v>
      </c>
      <c r="V4" s="4" t="s">
        <v>71</v>
      </c>
      <c r="W4" s="4" t="s">
        <v>72</v>
      </c>
    </row>
    <row r="5" customFormat="false" ht="15" hidden="false" customHeight="false" outlineLevel="0" collapsed="false">
      <c r="A5" s="10" t="inlineStr">
        <is>
          <t>INC-C01</t>
        </is>
      </c>
      <c r="B5" s="10" t="inlineStr">
        <is>
          <t>LinkedIn</t>
        </is>
      </c>
      <c r="C5" s="10" t="inlineStr">
        <is>
          <t>Carousel</t>
        </is>
      </c>
      <c r="D5" s="10" t="inlineStr">
        <is>
          <t>Pillar 3: CreatorOps Systems</t>
        </is>
      </c>
      <c r="E5" s="10" t="inlineStr">
        <is>
          <t>How top creators publish 14 high-performing assets every week from just one 45-minute recording (without hiring a 5-person team):</t>
        </is>
      </c>
      <c r="F5" s="10" t="inlineStr">
        <is>
          <t>The biggest misconception in the creator economy? Thinking you need to write and record content 7 days a week. 💡 The top 1% don't create more—they distribute smarter. Here is the complete CreatorOps Blueprint that turns 1 core conversation into 14 platform-native assets. Save this post for your next recording session! #CreatorOps #ContentStrategy #PodcastRepurposing #LinkedInGrowth #IncuBrix</t>
        </is>
      </c>
      <c r="G5" s="10" t="inlineStr">
        <is>
          <t>Download the PDF and Notion Template at incubrix.com/blueprint</t>
        </is>
      </c>
      <c r="H5" s="10" t="inlineStr">
        <is>
          <t>https://incubrix.com/blueprint?utm_source=linkedin&amp;utm_medium=carousel&amp;utm_campaign=INC-C01&amp;utm_content=creatorops_blueprint</t>
        </is>
      </c>
      <c r="I5" s="10" t="inlineStr">
        <is>
          <t>content/carousels/INC-C01/README.md</t>
        </is>
      </c>
      <c r="J5" s="10" t="inlineStr">
        <is>
          <t>content/carousels/INC-C01/slide_1.svg</t>
        </is>
      </c>
      <c r="K5" s="10" t="inlineStr">
        <is>
          <t>data/sample_podcast_input.txt</t>
        </is>
      </c>
      <c r="L5" s="10" t="inlineStr">
        <is>
          <t>IncuBrix Platform, Figma, Inter Font</t>
        </is>
      </c>
      <c r="M5" s="10" t="inlineStr">
        <is>
          <t>Yes</t>
        </is>
      </c>
      <c r="N5" s="10" t="inlineStr">
        <is>
          <t>Yes</t>
        </is>
      </c>
      <c r="O5" s="10" t="inlineStr">
        <is>
          <t>2026-11-01</t>
        </is>
      </c>
      <c r="P5" s="10" t="inlineStr">
        <is>
          <t>https://linkedin.com/posts/demo</t>
        </is>
      </c>
      <c r="Q5" s="10">
        <v>3800</v>
      </c>
      <c r="R5" s="10" t="inlineStr">
        <is>
          <t>5.2%</t>
        </is>
      </c>
      <c r="S5" s="10">
        <v>80</v>
      </c>
      <c r="T5" s="10" t="inlineStr">
        <is>
          <t>Ready</t>
        </is>
      </c>
      <c r="U5" s="10" t="inlineStr">
        <is>
          <t>Audited &amp; Rights Safe</t>
        </is>
      </c>
      <c r="V5" s="11" t="str">
        <f aca="false">IF(A5="","",IF(COUNTIF($A$5:$A$154,A5)&gt;1,"DUPLICATE","UNIQUE"))</f>
        <v/>
      </c>
      <c r="W5" s="11" t="str">
        <f aca="false">IF(A5="","",IF(T5="Rejected","REJECTED",IF(AND(B5&lt;&gt;"",C5&lt;&gt;"",D5&lt;&gt;"",E5&lt;&gt;"",F5&lt;&gt;"",G5&lt;&gt;"",H5&lt;&gt;"",I5&lt;&gt;"",J5&lt;&gt;"",M5&lt;&gt;"",O5&lt;&gt;"",T5&lt;&gt;""),"COMPLETE","MISSING FIELDS")))</f>
        <v/>
      </c>
    </row>
    <row r="6" customFormat="false" ht="15" hidden="false" customHeight="false" outlineLevel="0" collapsed="false">
      <c r="A6" s="10" t="inlineStr">
        <is>
          <t>INC-P01</t>
        </is>
      </c>
      <c r="B6" s="10" t="inlineStr">
        <is>
          <t>X</t>
        </is>
      </c>
      <c r="C6" s="10" t="inlineStr">
        <is>
          <t>Graphic</t>
        </is>
      </c>
      <c r="D6" s="10" t="inlineStr">
        <is>
          <t>Pillar 1: Workflow Teardowns</t>
        </is>
      </c>
      <c r="E6" s="10" t="inlineStr">
        <is>
          <t>The dirty secret of the creator economy: Most creators spend 80% of their time on admin, formatting, and file-renaming.</t>
        </is>
      </c>
      <c r="F6" s="10" t="inlineStr">
        <is>
          <t>The dirty secret of the creator economy: Most creators spend 80% of their time on admin, video cropping, manual subtitle fixing, and file-renaming. Only 20% goes into thinking and creating. Flip that ratio with CreatorOps.</t>
        </is>
      </c>
      <c r="G6" s="10" t="inlineStr">
        <is>
          <t>See how IncuBrix automates the 80% at incubrix.com</t>
        </is>
      </c>
      <c r="H6" s="10" t="inlineStr">
        <is>
          <t>https://incubrix.com?utm_source=x&amp;utm_medium=post&amp;utm_campaign=INC-P01&amp;utm_content=dirty_secret</t>
        </is>
      </c>
      <c r="I6" s="10" t="inlineStr">
        <is>
          <t>content/posts/INC-P01_*.md</t>
        </is>
      </c>
      <c r="J6" s="10" t="inlineStr">
        <is>
          <t>content/posts/INC-P01_source.txt</t>
        </is>
      </c>
      <c r="K6" s="10" t="inlineStr">
        <is>
          <t>data/sample_podcast_input.txt</t>
        </is>
      </c>
      <c r="L6" s="10" t="inlineStr">
        <is>
          <t>IncuBrix Generator, Python CLI</t>
        </is>
      </c>
      <c r="M6" s="10" t="inlineStr">
        <is>
          <t>Yes</t>
        </is>
      </c>
      <c r="N6" s="10" t="inlineStr">
        <is>
          <t>Yes</t>
        </is>
      </c>
      <c r="O6" s="10" t="inlineStr">
        <is>
          <t>2026-11-01</t>
        </is>
      </c>
      <c r="P6" s="10" t="inlineStr">
        <is>
          <t>https://x.com/IncuBrix/status/demo</t>
        </is>
      </c>
      <c r="Q6" s="10">
        <v>1800</v>
      </c>
      <c r="R6" s="10" t="inlineStr">
        <is>
          <t>4.2%</t>
        </is>
      </c>
      <c r="S6" s="10">
        <v>60</v>
      </c>
      <c r="T6" s="10" t="inlineStr">
        <is>
          <t>Ready</t>
        </is>
      </c>
      <c r="U6" s="10" t="inlineStr">
        <is>
          <t>Audited &amp; Rights Safe</t>
        </is>
      </c>
      <c r="V6" s="11" t="str">
        <f aca="false">IF(A6="","",IF(COUNTIF($A$5:$A$154,A6)&gt;1,"DUPLICATE","UNIQUE"))</f>
        <v/>
      </c>
      <c r="W6" s="11" t="str">
        <f aca="false">IF(A6="","",IF(T6="Rejected","REJECTED",IF(AND(B6&lt;&gt;"",C6&lt;&gt;"",D6&lt;&gt;"",E6&lt;&gt;"",F6&lt;&gt;"",G6&lt;&gt;"",H6&lt;&gt;"",I6&lt;&gt;"",J6&lt;&gt;"",M6&lt;&gt;"",O6&lt;&gt;"",T6&lt;&gt;""),"COMPLETE","MISSING FIELDS")))</f>
        <v/>
      </c>
    </row>
    <row r="7" customFormat="false" ht="15" hidden="false" customHeight="false" outlineLevel="0" collapsed="false">
      <c r="A7" s="10" t="inlineStr">
        <is>
          <t>INC-V01</t>
        </is>
      </c>
      <c r="B7" s="10" t="inlineStr">
        <is>
          <t>YouTube Shorts</t>
        </is>
      </c>
      <c r="C7" s="10" t="inlineStr">
        <is>
          <t>Short video</t>
        </is>
      </c>
      <c r="D7" s="10" t="inlineStr">
        <is>
          <t>Pillar 2: Feature-in-Action</t>
        </is>
      </c>
      <c r="E7" s="10" t="inlineStr">
        <is>
          <t>You are wasting 10 hours a week hand-cutting podcast clips. Here is how to do it in 4 minutes.</t>
        </is>
      </c>
      <c r="F7" s="10" t="inlineStr">
        <is>
          <t>Stop letting 45 minutes of gold die on Spotify. 🎧 90% of podcasters burn out because editing clips takes longer than recording the actual conversation. With IncuBrix, you drop in the recording and get 10 high-retention clips with dynamic captions and smart re-framing in under 4 minutes. Try your first video free (no CC required). #CreatorOps #PodcastGrowth #VideoEditing #AIContent #IncuBrix</t>
        </is>
      </c>
      <c r="G7" s="10" t="inlineStr">
        <is>
          <t>Test your first video free at incubrix.com/start</t>
        </is>
      </c>
      <c r="H7" s="10" t="inlineStr">
        <is>
          <t>https://incubrix.com/start?utm_source=shorts&amp;utm_medium=video&amp;utm_campaign=INC-V01&amp;utm_content=podcast_repurpose</t>
        </is>
      </c>
      <c r="I7" s="10" t="inlineStr">
        <is>
          <t>content/videos/INC-V01_*.md</t>
        </is>
      </c>
      <c r="J7" s="10" t="inlineStr">
        <is>
          <t>content/videos/INC-V01_storyboard.json</t>
        </is>
      </c>
      <c r="K7" s="10" t="inlineStr">
        <is>
          <t>data/sample_podcast_input.txt</t>
        </is>
      </c>
      <c r="L7" s="10" t="inlineStr">
        <is>
          <t>IncuBrix Studio, Descript, Epidemic Sound</t>
        </is>
      </c>
      <c r="M7" s="10" t="inlineStr">
        <is>
          <t>Yes</t>
        </is>
      </c>
      <c r="N7" s="10" t="inlineStr">
        <is>
          <t>Yes</t>
        </is>
      </c>
      <c r="O7" s="10" t="inlineStr">
        <is>
          <t>2026-11-02</t>
        </is>
      </c>
      <c r="P7" s="10" t="inlineStr">
        <is>
          <t>https://youtube.com/shorts/demo</t>
        </is>
      </c>
      <c r="Q7" s="10">
        <v>2500</v>
      </c>
      <c r="R7" s="10" t="inlineStr">
        <is>
          <t>4.8%</t>
        </is>
      </c>
      <c r="S7" s="10">
        <v>45</v>
      </c>
      <c r="T7" s="10" t="inlineStr">
        <is>
          <t>Ready</t>
        </is>
      </c>
      <c r="U7" s="10" t="inlineStr">
        <is>
          <t>Audited &amp; Rights Safe</t>
        </is>
      </c>
      <c r="V7" s="11" t="str">
        <f aca="false">IF(A7="","",IF(COUNTIF($A$5:$A$154,A7)&gt;1,"DUPLICATE","UNIQUE"))</f>
        <v/>
      </c>
      <c r="W7" s="11" t="str">
        <f aca="false">IF(A7="","",IF(T7="Rejected","REJECTED",IF(AND(B7&lt;&gt;"",C7&lt;&gt;"",D7&lt;&gt;"",E7&lt;&gt;"",F7&lt;&gt;"",G7&lt;&gt;"",H7&lt;&gt;"",I7&lt;&gt;"",J7&lt;&gt;"",M7&lt;&gt;"",O7&lt;&gt;"",T7&lt;&gt;""),"COMPLETE","MISSING FIELDS")))</f>
        <v/>
      </c>
    </row>
    <row r="8" customFormat="false" ht="15" hidden="false" customHeight="false" outlineLevel="0" collapsed="false">
      <c r="A8" s="10" t="inlineStr">
        <is>
          <t>INC-P02</t>
        </is>
      </c>
      <c r="B8" s="10" t="inlineStr">
        <is>
          <t>X</t>
        </is>
      </c>
      <c r="C8" s="10" t="inlineStr">
        <is>
          <t>Thread</t>
        </is>
      </c>
      <c r="D8" s="10" t="inlineStr">
        <is>
          <t>Pillar 3: CreatorOps Systems</t>
        </is>
      </c>
      <c r="E8" s="10" t="inlineStr">
        <is>
          <t>How to turn 1 recorded webinar or podcast into 1 full month of social content (without burning 20 hours a week): 🧵👇</t>
        </is>
      </c>
      <c r="F8" s="10" t="inlineStr">
        <is>
          <t>Full 7-step SOP to turn 1 webinar into 30 pieces of modular content. Step-by-step thread covering clip extraction, carousels, quotes, and newsletter packaging. #ContentMarketing #CreatorOps #Thread #IncuBrix</t>
        </is>
      </c>
      <c r="G8" s="10" t="inlineStr">
        <is>
          <t>Run the SOP on your next webinar at incubrix.com/start</t>
        </is>
      </c>
      <c r="H8" s="10" t="inlineStr">
        <is>
          <t>https://incubrix.com/start?utm_source=x&amp;utm_medium=thread&amp;utm_campaign=INC-P02&amp;utm_content=webinar_sop</t>
        </is>
      </c>
      <c r="I8" s="10" t="inlineStr">
        <is>
          <t>content/posts/INC-P02_*.md</t>
        </is>
      </c>
      <c r="J8" s="10" t="inlineStr">
        <is>
          <t>content/posts/INC-P02_source.txt</t>
        </is>
      </c>
      <c r="K8" s="10" t="inlineStr">
        <is>
          <t>data/sample_podcast_input.txt</t>
        </is>
      </c>
      <c r="L8" s="10" t="inlineStr">
        <is>
          <t>IncuBrix Generator, Python CLI</t>
        </is>
      </c>
      <c r="M8" s="10" t="inlineStr">
        <is>
          <t>Yes</t>
        </is>
      </c>
      <c r="N8" s="10" t="inlineStr">
        <is>
          <t>Yes</t>
        </is>
      </c>
      <c r="O8" s="10" t="inlineStr">
        <is>
          <t>2026-11-03</t>
        </is>
      </c>
      <c r="P8" s="10" t="inlineStr">
        <is>
          <t>https://x.com/IncuBrix/status/demo</t>
        </is>
      </c>
      <c r="Q8" s="10">
        <v>1800</v>
      </c>
      <c r="R8" s="10" t="inlineStr">
        <is>
          <t>4.2%</t>
        </is>
      </c>
      <c r="S8" s="10">
        <v>60</v>
      </c>
      <c r="T8" s="10" t="inlineStr">
        <is>
          <t>Ready</t>
        </is>
      </c>
      <c r="U8" s="10" t="inlineStr">
        <is>
          <t>Audited &amp; Rights Safe</t>
        </is>
      </c>
      <c r="V8" s="11" t="str">
        <f aca="false">IF(A8="","",IF(COUNTIF($A$5:$A$154,A8)&gt;1,"DUPLICATE","UNIQUE"))</f>
        <v/>
      </c>
      <c r="W8" s="11" t="str">
        <f aca="false">IF(A8="","",IF(T8="Rejected","REJECTED",IF(AND(B8&lt;&gt;"",C8&lt;&gt;"",D8&lt;&gt;"",E8&lt;&gt;"",F8&lt;&gt;"",G8&lt;&gt;"",H8&lt;&gt;"",I8&lt;&gt;"",J8&lt;&gt;"",M8&lt;&gt;"",O8&lt;&gt;"",T8&lt;&gt;""),"COMPLETE","MISSING FIELDS")))</f>
        <v/>
      </c>
    </row>
    <row r="9" customFormat="false" ht="15" hidden="false" customHeight="false" outlineLevel="0" collapsed="false">
      <c r="A9" s="10" t="inlineStr">
        <is>
          <t>INC-P03</t>
        </is>
      </c>
      <c r="B9" s="10" t="inlineStr">
        <is>
          <t>LinkedIn</t>
        </is>
      </c>
      <c r="C9" s="10" t="inlineStr">
        <is>
          <t>Text post</t>
        </is>
      </c>
      <c r="D9" s="10" t="inlineStr">
        <is>
          <t>Pillar 3: CreatorOps Systems</t>
        </is>
      </c>
      <c r="E9" s="10" t="inlineStr">
        <is>
          <t>The 'AI video clipper' market is repeating the exact mistake social schedulers made in 2014.</t>
        </is>
      </c>
      <c r="F9" s="10" t="inlineStr">
        <is>
          <t>The 'AI video clipper' market is repeating the exact mistake social media schedulers made in 2014. Why single-feature tools create bloat and why integrated CreatorOps is the future of content distribution. #CreatorOps #B2BMarketing #SaaSStrategy #IncuBrix</t>
        </is>
      </c>
      <c r="G9" s="10" t="inlineStr">
        <is>
          <t>See the CreatorOps difference at incubrix.com</t>
        </is>
      </c>
      <c r="H9" s="10" t="inlineStr">
        <is>
          <t>https://incubrix.com?utm_source=linkedin&amp;utm_medium=post&amp;utm_campaign=INC-P03&amp;utm_content=death_of_clippers</t>
        </is>
      </c>
      <c r="I9" s="10" t="inlineStr">
        <is>
          <t>content/posts/INC-P03_*.md</t>
        </is>
      </c>
      <c r="J9" s="10" t="inlineStr">
        <is>
          <t>content/posts/INC-P03_source.txt</t>
        </is>
      </c>
      <c r="K9" s="10" t="inlineStr">
        <is>
          <t>data/sample_podcast_input.txt</t>
        </is>
      </c>
      <c r="L9" s="10" t="inlineStr">
        <is>
          <t>IncuBrix Generator, Python CLI</t>
        </is>
      </c>
      <c r="M9" s="10" t="inlineStr">
        <is>
          <t>Yes</t>
        </is>
      </c>
      <c r="N9" s="10" t="inlineStr">
        <is>
          <t>Yes</t>
        </is>
      </c>
      <c r="O9" s="10" t="inlineStr">
        <is>
          <t>2026-11-03</t>
        </is>
      </c>
      <c r="P9" s="10" t="inlineStr">
        <is>
          <t>https://x.com/IncuBrix/status/demo</t>
        </is>
      </c>
      <c r="Q9" s="10">
        <v>1800</v>
      </c>
      <c r="R9" s="10" t="inlineStr">
        <is>
          <t>4.2%</t>
        </is>
      </c>
      <c r="S9" s="10">
        <v>60</v>
      </c>
      <c r="T9" s="10" t="inlineStr">
        <is>
          <t>Ready</t>
        </is>
      </c>
      <c r="U9" s="10" t="inlineStr">
        <is>
          <t>Audited &amp; Rights Safe</t>
        </is>
      </c>
      <c r="V9" s="11" t="str">
        <f aca="false">IF(A9="","",IF(COUNTIF($A$5:$A$154,A9)&gt;1,"DUPLICATE","UNIQUE"))</f>
        <v/>
      </c>
      <c r="W9" s="11" t="str">
        <f aca="false">IF(A9="","",IF(T9="Rejected","REJECTED",IF(AND(B9&lt;&gt;"",C9&lt;&gt;"",D9&lt;&gt;"",E9&lt;&gt;"",F9&lt;&gt;"",G9&lt;&gt;"",H9&lt;&gt;"",I9&lt;&gt;"",J9&lt;&gt;"",M9&lt;&gt;"",O9&lt;&gt;"",T9&lt;&gt;""),"COMPLETE","MISSING FIELDS")))</f>
        <v/>
      </c>
    </row>
    <row r="10" customFormat="false" ht="15" hidden="false" customHeight="false" outlineLevel="0" collapsed="false">
      <c r="A10" s="10" t="inlineStr">
        <is>
          <t>INC-V02</t>
        </is>
      </c>
      <c r="B10" s="10" t="inlineStr">
        <is>
          <t>YouTube Shorts</t>
        </is>
      </c>
      <c r="C10" s="10" t="inlineStr">
        <is>
          <t>Short video</t>
        </is>
      </c>
      <c r="D10" s="10" t="inlineStr">
        <is>
          <t>Pillar 1: Workflow Teardowns</t>
        </is>
      </c>
      <c r="E10" s="10" t="inlineStr">
        <is>
          <t>Here is the exact breakdown of why solo creators burn out after 6 months.</t>
        </is>
      </c>
      <c r="F10" s="10" t="inlineStr">
        <is>
          <t>Content creation doesn't cause burnout. Fragmented toolchains do. 🛑 When you spend 15 hours editing for every 1 hour you spend thinking, your quality drops. Automate the low-leverage clipping, formatting, and scheduling with IncuBrix. Work smarter, not longer. #CreatorEconomy #Productivity #VideoMarketing #IncuBrix</t>
        </is>
      </c>
      <c r="G10" s="10" t="inlineStr">
        <is>
          <t>Grab the CreatorOps SOP at incubrix.com/sop</t>
        </is>
      </c>
      <c r="H10" s="10" t="inlineStr">
        <is>
          <t>https://incubrix.com/sop?utm_source=tiktok&amp;utm_medium=video&amp;utm_campaign=INC-V02&amp;utm_content=creator_tax</t>
        </is>
      </c>
      <c r="I10" s="10" t="inlineStr">
        <is>
          <t>content/videos/INC-V02_*.md</t>
        </is>
      </c>
      <c r="J10" s="10" t="inlineStr">
        <is>
          <t>content/videos/INC-V02_storyboard.json</t>
        </is>
      </c>
      <c r="K10" s="10" t="inlineStr">
        <is>
          <t>data/sample_podcast_input.txt</t>
        </is>
      </c>
      <c r="L10" s="10" t="inlineStr">
        <is>
          <t>IncuBrix Studio, Descript, Epidemic Sound</t>
        </is>
      </c>
      <c r="M10" s="10" t="inlineStr">
        <is>
          <t>Yes</t>
        </is>
      </c>
      <c r="N10" s="10" t="inlineStr">
        <is>
          <t>Yes</t>
        </is>
      </c>
      <c r="O10" s="10" t="inlineStr">
        <is>
          <t>2026-11-04</t>
        </is>
      </c>
      <c r="P10" s="10" t="inlineStr">
        <is>
          <t>https://youtube.com/shorts/demo</t>
        </is>
      </c>
      <c r="Q10" s="10">
        <v>2500</v>
      </c>
      <c r="R10" s="10" t="inlineStr">
        <is>
          <t>4.8%</t>
        </is>
      </c>
      <c r="S10" s="10">
        <v>45</v>
      </c>
      <c r="T10" s="10" t="inlineStr">
        <is>
          <t>Ready</t>
        </is>
      </c>
      <c r="U10" s="10" t="inlineStr">
        <is>
          <t>Audited &amp; Rights Safe</t>
        </is>
      </c>
      <c r="V10" s="11" t="str">
        <f aca="false">IF(A10="","",IF(COUNTIF($A$5:$A$154,A10)&gt;1,"DUPLICATE","UNIQUE"))</f>
        <v/>
      </c>
      <c r="W10" s="11" t="str">
        <f aca="false">IF(A10="","",IF(T10="Rejected","REJECTED",IF(AND(B10&lt;&gt;"",C10&lt;&gt;"",D10&lt;&gt;"",E10&lt;&gt;"",F10&lt;&gt;"",G10&lt;&gt;"",H10&lt;&gt;"",I10&lt;&gt;"",J10&lt;&gt;"",M10&lt;&gt;"",O10&lt;&gt;"",T10&lt;&gt;""),"COMPLETE","MISSING FIELDS")))</f>
        <v/>
      </c>
    </row>
    <row r="11" customFormat="false" ht="15" hidden="false" customHeight="false" outlineLevel="0" collapsed="false">
      <c r="A11" s="10" t="inlineStr">
        <is>
          <t>INC-C02</t>
        </is>
      </c>
      <c r="B11" s="10" t="inlineStr">
        <is>
          <t>LinkedIn</t>
        </is>
      </c>
      <c r="C11" s="10" t="inlineStr">
        <is>
          <t>Carousel</t>
        </is>
      </c>
      <c r="D11" s="10" t="inlineStr">
        <is>
          <t>Pillar 1: Workflow Teardowns</t>
        </is>
      </c>
      <c r="E11" s="10" t="inlineStr">
        <is>
          <t>We audited 50 creators producing 3 videos a week. Here is the shocking math on what manual editing actually costs:</t>
        </is>
      </c>
      <c r="F11" s="10" t="inlineStr">
        <is>
          <t>Are you spending \$4,000 a month on freelance video editors or 20 hours of your own founder time? 📊 When you break down the hourly cost of manual clipping, transcript cleaning, and resizing, manual post-production is the most expensive way to grow. Here is the exact economic breakdown and how modern CreatorOps changes the equation. #ContentROI #MarketingBudgets #Productivity #IncuBrix</t>
        </is>
      </c>
      <c r="G11" s="10" t="inlineStr">
        <is>
          <t>Calculate your repurposing cost at incubrix.com/calculator</t>
        </is>
      </c>
      <c r="H11" s="10" t="inlineStr">
        <is>
          <t>https://incubrix.com/calculator?utm_source=linkedin&amp;utm_medium=carousel&amp;utm_campaign=INC-C02&amp;utm_content=repurposing_math</t>
        </is>
      </c>
      <c r="I11" s="10" t="inlineStr">
        <is>
          <t>content/carousels/INC-C02/README.md</t>
        </is>
      </c>
      <c r="J11" s="10" t="inlineStr">
        <is>
          <t>content/carousels/INC-C02/slide_1.svg</t>
        </is>
      </c>
      <c r="K11" s="10" t="inlineStr">
        <is>
          <t>data/sample_podcast_input.txt</t>
        </is>
      </c>
      <c r="L11" s="10" t="inlineStr">
        <is>
          <t>IncuBrix Platform, Figma, Inter Font</t>
        </is>
      </c>
      <c r="M11" s="10" t="inlineStr">
        <is>
          <t>Yes</t>
        </is>
      </c>
      <c r="N11" s="10" t="inlineStr">
        <is>
          <t>Yes</t>
        </is>
      </c>
      <c r="O11" s="10" t="inlineStr">
        <is>
          <t>2026-11-05</t>
        </is>
      </c>
      <c r="P11" s="10" t="inlineStr">
        <is>
          <t>https://linkedin.com/posts/demo</t>
        </is>
      </c>
      <c r="Q11" s="10">
        <v>3800</v>
      </c>
      <c r="R11" s="10" t="inlineStr">
        <is>
          <t>5.2%</t>
        </is>
      </c>
      <c r="S11" s="10">
        <v>80</v>
      </c>
      <c r="T11" s="10" t="inlineStr">
        <is>
          <t>Ready</t>
        </is>
      </c>
      <c r="U11" s="10" t="inlineStr">
        <is>
          <t>Audited &amp; Rights Safe</t>
        </is>
      </c>
      <c r="V11" s="11" t="str">
        <f aca="false">IF(A11="","",IF(COUNTIF($A$5:$A$154,A11)&gt;1,"DUPLICATE","UNIQUE"))</f>
        <v/>
      </c>
      <c r="W11" s="11" t="str">
        <f aca="false">IF(A11="","",IF(T11="Rejected","REJECTED",IF(AND(B11&lt;&gt;"",C11&lt;&gt;"",D11&lt;&gt;"",E11&lt;&gt;"",F11&lt;&gt;"",G11&lt;&gt;"",H11&lt;&gt;"",I11&lt;&gt;"",J11&lt;&gt;"",M11&lt;&gt;"",O11&lt;&gt;"",T11&lt;&gt;""),"COMPLETE","MISSING FIELDS")))</f>
        <v/>
      </c>
    </row>
    <row r="12" customFormat="false" ht="15" hidden="false" customHeight="false" outlineLevel="0" collapsed="false">
      <c r="A12" s="10" t="inlineStr">
        <is>
          <t>INC-V03</t>
        </is>
      </c>
      <c r="B12" s="10" t="inlineStr">
        <is>
          <t>YouTube Shorts</t>
        </is>
      </c>
      <c r="C12" s="10" t="inlineStr">
        <is>
          <t>Short video</t>
        </is>
      </c>
      <c r="D12" s="10" t="inlineStr">
        <is>
          <t>Pillar 4: Creator Benchmarks</t>
        </is>
      </c>
      <c r="E12" s="10" t="inlineStr">
        <is>
          <t>If your short-form captions look like this, 70% of viewers swipe away in 3 seconds.</t>
        </is>
      </c>
      <c r="F12" s="10" t="inlineStr">
        <is>
          <t>73% of social video is watched without sound. 🔇 If your subtitles are in the platform 'dead zone' or move too slowly, your retention plummets. Here's how to format short-form captions for maximum algorithmic watch time. #ShortsTips #VideoRetention #SocialMediaGrowth #IncuBrix</t>
        </is>
      </c>
      <c r="G12" s="10" t="inlineStr">
        <is>
          <t>Test the auto-caption generator at incubrix.com/studio</t>
        </is>
      </c>
      <c r="H12" s="10" t="inlineStr">
        <is>
          <t>https://incubrix.com/studio?utm_source=linkedin&amp;utm_medium=video&amp;utm_campaign=INC-V03&amp;utm_content=caption_retention</t>
        </is>
      </c>
      <c r="I12" s="10" t="inlineStr">
        <is>
          <t>content/videos/INC-V03_*.md</t>
        </is>
      </c>
      <c r="J12" s="10" t="inlineStr">
        <is>
          <t>content/videos/INC-V03_storyboard.json</t>
        </is>
      </c>
      <c r="K12" s="10" t="inlineStr">
        <is>
          <t>data/sample_podcast_input.txt</t>
        </is>
      </c>
      <c r="L12" s="10" t="inlineStr">
        <is>
          <t>IncuBrix Studio, Descript, Epidemic Sound</t>
        </is>
      </c>
      <c r="M12" s="10" t="inlineStr">
        <is>
          <t>Yes</t>
        </is>
      </c>
      <c r="N12" s="10" t="inlineStr">
        <is>
          <t>Yes</t>
        </is>
      </c>
      <c r="O12" s="10" t="inlineStr">
        <is>
          <t>2026-11-06</t>
        </is>
      </c>
      <c r="P12" s="10" t="inlineStr">
        <is>
          <t>https://youtube.com/shorts/demo</t>
        </is>
      </c>
      <c r="Q12" s="10">
        <v>2500</v>
      </c>
      <c r="R12" s="10" t="inlineStr">
        <is>
          <t>4.8%</t>
        </is>
      </c>
      <c r="S12" s="10">
        <v>45</v>
      </c>
      <c r="T12" s="10" t="inlineStr">
        <is>
          <t>Ready</t>
        </is>
      </c>
      <c r="U12" s="10" t="inlineStr">
        <is>
          <t>Audited &amp; Rights Safe</t>
        </is>
      </c>
      <c r="V12" s="11" t="str">
        <f aca="false">IF(A12="","",IF(COUNTIF($A$5:$A$154,A12)&gt;1,"DUPLICATE","UNIQUE"))</f>
        <v/>
      </c>
      <c r="W12" s="11" t="str">
        <f aca="false">IF(A12="","",IF(T12="Rejected","REJECTED",IF(AND(B12&lt;&gt;"",C12&lt;&gt;"",D12&lt;&gt;"",E12&lt;&gt;"",F12&lt;&gt;"",G12&lt;&gt;"",H12&lt;&gt;"",I12&lt;&gt;"",J12&lt;&gt;"",M12&lt;&gt;"",O12&lt;&gt;"",T12&lt;&gt;""),"COMPLETE","MISSING FIELDS")))</f>
        <v/>
      </c>
    </row>
    <row r="13" customFormat="false" ht="15" hidden="false" customHeight="false" outlineLevel="0" collapsed="false">
      <c r="A13" s="10" t="inlineStr">
        <is>
          <t>INC-P04</t>
        </is>
      </c>
      <c r="B13" s="10" t="inlineStr">
        <is>
          <t>X</t>
        </is>
      </c>
      <c r="C13" s="10" t="inlineStr">
        <is>
          <t>Text post</t>
        </is>
      </c>
      <c r="D13" s="10" t="inlineStr">
        <is>
          <t>Pillar 2: Feature-in-Action</t>
        </is>
      </c>
      <c r="E13" s="10" t="inlineStr">
        <is>
          <t>Before vs. After: What happens when you run a raw 45-minute Zoom recording through IncuBrix:</t>
        </is>
      </c>
      <c r="F13" s="10" t="inlineStr">
        <is>
          <t>Before vs. After running a 45-minute recording through IncuBrix. 12 hours of manual editing vs. 60 seconds of automated multi-format extraction. #ContentRepurposing #BeforeAfter #CreatorOps #IncuBrix</t>
        </is>
      </c>
      <c r="G13" s="10" t="inlineStr">
        <is>
          <t>Try the 60-second transformation at incubrix.com</t>
        </is>
      </c>
      <c r="H13" s="10" t="inlineStr">
        <is>
          <t>https://incubrix.com?utm_source=x&amp;utm_medium=post&amp;utm_campaign=INC-P04&amp;utm_content=before_after</t>
        </is>
      </c>
      <c r="I13" s="10" t="inlineStr">
        <is>
          <t>content/posts/INC-P04_*.md</t>
        </is>
      </c>
      <c r="J13" s="10" t="inlineStr">
        <is>
          <t>content/posts/INC-P04_source.txt</t>
        </is>
      </c>
      <c r="K13" s="10" t="inlineStr">
        <is>
          <t>data/sample_podcast_input.txt</t>
        </is>
      </c>
      <c r="L13" s="10" t="inlineStr">
        <is>
          <t>IncuBrix Generator, Python CLI</t>
        </is>
      </c>
      <c r="M13" s="10" t="inlineStr">
        <is>
          <t>Yes</t>
        </is>
      </c>
      <c r="N13" s="10" t="inlineStr">
        <is>
          <t>Yes</t>
        </is>
      </c>
      <c r="O13" s="10" t="inlineStr">
        <is>
          <t>2026-11-07</t>
        </is>
      </c>
      <c r="P13" s="10" t="inlineStr">
        <is>
          <t>https://x.com/IncuBrix/status/demo</t>
        </is>
      </c>
      <c r="Q13" s="10">
        <v>1800</v>
      </c>
      <c r="R13" s="10" t="inlineStr">
        <is>
          <t>4.2%</t>
        </is>
      </c>
      <c r="S13" s="10">
        <v>60</v>
      </c>
      <c r="T13" s="10" t="inlineStr">
        <is>
          <t>Ready</t>
        </is>
      </c>
      <c r="U13" s="10" t="inlineStr">
        <is>
          <t>Audited &amp; Rights Safe</t>
        </is>
      </c>
      <c r="V13" s="11" t="str">
        <f aca="false">IF(A13="","",IF(COUNTIF($A$5:$A$154,A13)&gt;1,"DUPLICATE","UNIQUE"))</f>
        <v/>
      </c>
      <c r="W13" s="11" t="str">
        <f aca="false">IF(A13="","",IF(T13="Rejected","REJECTED",IF(AND(B13&lt;&gt;"",C13&lt;&gt;"",D13&lt;&gt;"",E13&lt;&gt;"",F13&lt;&gt;"",G13&lt;&gt;"",H13&lt;&gt;"",I13&lt;&gt;"",J13&lt;&gt;"",M13&lt;&gt;"",O13&lt;&gt;"",T13&lt;&gt;""),"COMPLETE","MISSING FIELDS")))</f>
        <v/>
      </c>
    </row>
    <row r="14" customFormat="false" ht="15" hidden="false" customHeight="false" outlineLevel="0" collapsed="false">
      <c r="A14" s="10" t="inlineStr">
        <is>
          <t>INC-P05</t>
        </is>
      </c>
      <c r="B14" s="10" t="inlineStr">
        <is>
          <t>LinkedIn</t>
        </is>
      </c>
      <c r="C14" s="10" t="inlineStr">
        <is>
          <t>Text post</t>
        </is>
      </c>
      <c r="D14" s="10" t="inlineStr">
        <is>
          <t>Pillar 5: Trench Stories</t>
        </is>
      </c>
      <c r="E14" s="10" t="inlineStr">
        <is>
          <t>How one solo B2B podcaster published 120 high-performing posts in 30 days while working full-time:</t>
        </is>
      </c>
      <c r="F14" s="10" t="inlineStr">
        <is>
          <t>How one solo podcaster published 120 posts in 30 days and generated 184K impressions without working weekends. The complete CreatorOps case study. #CaseStudy #B2BMarketing #PodcastGrowth #IncuBrix</t>
        </is>
      </c>
      <c r="G14" s="10" t="inlineStr">
        <is>
          <t>Read the full case study at incubrix.com/case-studies/david</t>
        </is>
      </c>
      <c r="H14" s="10" t="inlineStr">
        <is>
          <t>https://incubrix.com/case-studies/david?utm_source=linkedin&amp;utm_medium=post&amp;utm_campaign=INC-P05&amp;utm_content=david_case_study</t>
        </is>
      </c>
      <c r="I14" s="10" t="inlineStr">
        <is>
          <t>content/posts/INC-P05_*.md</t>
        </is>
      </c>
      <c r="J14" s="10" t="inlineStr">
        <is>
          <t>content/posts/INC-P05_source.txt</t>
        </is>
      </c>
      <c r="K14" s="10" t="inlineStr">
        <is>
          <t>data/sample_podcast_input.txt</t>
        </is>
      </c>
      <c r="L14" s="10" t="inlineStr">
        <is>
          <t>IncuBrix Generator, Python CLI</t>
        </is>
      </c>
      <c r="M14" s="10" t="inlineStr">
        <is>
          <t>Yes</t>
        </is>
      </c>
      <c r="N14" s="10" t="inlineStr">
        <is>
          <t>Yes</t>
        </is>
      </c>
      <c r="O14" s="10" t="inlineStr">
        <is>
          <t>2026-11-07</t>
        </is>
      </c>
      <c r="P14" s="10" t="inlineStr">
        <is>
          <t>https://x.com/IncuBrix/status/demo</t>
        </is>
      </c>
      <c r="Q14" s="10">
        <v>1800</v>
      </c>
      <c r="R14" s="10" t="inlineStr">
        <is>
          <t>4.2%</t>
        </is>
      </c>
      <c r="S14" s="10">
        <v>60</v>
      </c>
      <c r="T14" s="10" t="inlineStr">
        <is>
          <t>Ready</t>
        </is>
      </c>
      <c r="U14" s="10" t="inlineStr">
        <is>
          <t>Audited &amp; Rights Safe</t>
        </is>
      </c>
      <c r="V14" s="11" t="str">
        <f aca="false">IF(A14="","",IF(COUNTIF($A$5:$A$154,A14)&gt;1,"DUPLICATE","UNIQUE"))</f>
        <v/>
      </c>
      <c r="W14" s="11" t="str">
        <f aca="false">IF(A14="","",IF(T14="Rejected","REJECTED",IF(AND(B14&lt;&gt;"",C14&lt;&gt;"",D14&lt;&gt;"",E14&lt;&gt;"",F14&lt;&gt;"",G14&lt;&gt;"",H14&lt;&gt;"",I14&lt;&gt;"",J14&lt;&gt;"",M14&lt;&gt;"",O14&lt;&gt;"",T14&lt;&gt;""),"COMPLETE","MISSING FIELDS")))</f>
        <v/>
      </c>
    </row>
    <row r="15" customFormat="false" ht="15" hidden="false" customHeight="false" outlineLevel="0" collapsed="false">
      <c r="A15" s="10" t="inlineStr">
        <is>
          <t>INC-V04</t>
        </is>
      </c>
      <c r="B15" s="10" t="inlineStr">
        <is>
          <t>YouTube Shorts</t>
        </is>
      </c>
      <c r="C15" s="10" t="inlineStr">
        <is>
          <t>Short video</t>
        </is>
      </c>
      <c r="D15" s="10" t="inlineStr">
        <is>
          <t>Pillar 4: Creator Benchmarks</t>
        </is>
      </c>
      <c r="E15" s="10" t="inlineStr">
        <is>
          <t>We analyzed 1,000 short-form clips. These 5 hook formulas beat all the rest.</t>
        </is>
      </c>
      <c r="F15" s="10" t="inlineStr">
        <is>
          <t>Your video dies in the first 2 seconds if the hook doesn't create an immediate curiosity loop. 🎣 We audited 1,000+ top creator videos to identify the 5 highest-retention opening frameworks. Read the breakdown or let IncuBrix write them for you. #HookFormula #ContentCreation #ViralHooks #IncuBrix</t>
        </is>
      </c>
      <c r="G15" s="10" t="inlineStr">
        <is>
          <t>Download the Hook Swipe File at incubrix.com/hooks</t>
        </is>
      </c>
      <c r="H15" s="10" t="inlineStr">
        <is>
          <t>https://incubrix.com/hooks?utm_source=x&amp;utm_medium=video&amp;utm_campaign=INC-V04&amp;utm_content=5_hook_formulas</t>
        </is>
      </c>
      <c r="I15" s="10" t="inlineStr">
        <is>
          <t>content/videos/INC-V04_*.md</t>
        </is>
      </c>
      <c r="J15" s="10" t="inlineStr">
        <is>
          <t>content/videos/INC-V04_storyboard.json</t>
        </is>
      </c>
      <c r="K15" s="10" t="inlineStr">
        <is>
          <t>data/sample_podcast_input.txt</t>
        </is>
      </c>
      <c r="L15" s="10" t="inlineStr">
        <is>
          <t>IncuBrix Studio, Descript, Epidemic Sound</t>
        </is>
      </c>
      <c r="M15" s="10" t="inlineStr">
        <is>
          <t>Yes</t>
        </is>
      </c>
      <c r="N15" s="10" t="inlineStr">
        <is>
          <t>Yes</t>
        </is>
      </c>
      <c r="O15" s="10" t="inlineStr">
        <is>
          <t>2026-11-08</t>
        </is>
      </c>
      <c r="P15" s="10" t="inlineStr">
        <is>
          <t>https://youtube.com/shorts/demo</t>
        </is>
      </c>
      <c r="Q15" s="10">
        <v>2500</v>
      </c>
      <c r="R15" s="10" t="inlineStr">
        <is>
          <t>4.8%</t>
        </is>
      </c>
      <c r="S15" s="10">
        <v>45</v>
      </c>
      <c r="T15" s="10" t="inlineStr">
        <is>
          <t>Ready</t>
        </is>
      </c>
      <c r="U15" s="10" t="inlineStr">
        <is>
          <t>Audited &amp; Rights Safe</t>
        </is>
      </c>
      <c r="V15" s="11" t="str">
        <f aca="false">IF(A15="","",IF(COUNTIF($A$5:$A$154,A15)&gt;1,"DUPLICATE","UNIQUE"))</f>
        <v/>
      </c>
      <c r="W15" s="11" t="str">
        <f aca="false">IF(A15="","",IF(T15="Rejected","REJECTED",IF(AND(B15&lt;&gt;"",C15&lt;&gt;"",D15&lt;&gt;"",E15&lt;&gt;"",F15&lt;&gt;"",G15&lt;&gt;"",H15&lt;&gt;"",I15&lt;&gt;"",J15&lt;&gt;"",M15&lt;&gt;"",O15&lt;&gt;"",T15&lt;&gt;""),"COMPLETE","MISSING FIELDS")))</f>
        <v/>
      </c>
    </row>
    <row r="16" customFormat="false" ht="15" hidden="false" customHeight="false" outlineLevel="0" collapsed="false">
      <c r="A16" s="10" t="inlineStr">
        <is>
          <t>INC-C03</t>
        </is>
      </c>
      <c r="B16" s="10" t="inlineStr">
        <is>
          <t>LinkedIn</t>
        </is>
      </c>
      <c r="C16" s="10" t="inlineStr">
        <is>
          <t>Carousel</t>
        </is>
      </c>
      <c r="D16" s="10" t="inlineStr">
        <is>
          <t>Pillar 4: Creator Benchmarks</t>
        </is>
      </c>
      <c r="E16" s="10" t="inlineStr">
        <is>
          <t>Why do some short videos get 1M views while identical content gets stuck at 200? Here is the exact 7-step blueprint:</t>
        </is>
      </c>
      <c r="F16" s="10" t="inlineStr">
        <is>
          <t>Short-form algorithms in 2026 don't care about your production budget. They care about two things: 3-Second Retention and Average Watch Percentage. 📈 Here is the 7-step structural anatomy of clips that consistently hit 65%+ completion rates. Bookmark this framework for your next edit. #VideoMarketing #RetentionHacks #AlgorithmTips #ShortsStrategy #IncuBrix</t>
        </is>
      </c>
      <c r="G16" s="10" t="inlineStr">
        <is>
          <t>Get the Retention Checklist at incubrix.com/retention</t>
        </is>
      </c>
      <c r="H16" s="10" t="inlineStr">
        <is>
          <t>https://incubrix.com/retention?utm_source=linkedin&amp;utm_medium=carousel&amp;utm_campaign=INC-C03&amp;utm_content=clip_anatomy</t>
        </is>
      </c>
      <c r="I16" s="10" t="inlineStr">
        <is>
          <t>content/carousels/INC-C03/README.md</t>
        </is>
      </c>
      <c r="J16" s="10" t="inlineStr">
        <is>
          <t>content/carousels/INC-C03/slide_1.svg</t>
        </is>
      </c>
      <c r="K16" s="10" t="inlineStr">
        <is>
          <t>data/sample_podcast_input.txt</t>
        </is>
      </c>
      <c r="L16" s="10" t="inlineStr">
        <is>
          <t>IncuBrix Platform, Figma, Inter Font</t>
        </is>
      </c>
      <c r="M16" s="10" t="inlineStr">
        <is>
          <t>Yes</t>
        </is>
      </c>
      <c r="N16" s="10" t="inlineStr">
        <is>
          <t>Yes</t>
        </is>
      </c>
      <c r="O16" s="10" t="inlineStr">
        <is>
          <t>2026-11-09</t>
        </is>
      </c>
      <c r="P16" s="10" t="inlineStr">
        <is>
          <t>https://linkedin.com/posts/demo</t>
        </is>
      </c>
      <c r="Q16" s="10">
        <v>3800</v>
      </c>
      <c r="R16" s="10" t="inlineStr">
        <is>
          <t>5.2%</t>
        </is>
      </c>
      <c r="S16" s="10">
        <v>80</v>
      </c>
      <c r="T16" s="10" t="inlineStr">
        <is>
          <t>Ready</t>
        </is>
      </c>
      <c r="U16" s="10" t="inlineStr">
        <is>
          <t>Audited &amp; Rights Safe</t>
        </is>
      </c>
      <c r="V16" s="11" t="str">
        <f aca="false">IF(A16="","",IF(COUNTIF($A$5:$A$154,A16)&gt;1,"DUPLICATE","UNIQUE"))</f>
        <v/>
      </c>
      <c r="W16" s="11" t="str">
        <f aca="false">IF(A16="","",IF(T16="Rejected","REJECTED",IF(AND(B16&lt;&gt;"",C16&lt;&gt;"",D16&lt;&gt;"",E16&lt;&gt;"",F16&lt;&gt;"",G16&lt;&gt;"",H16&lt;&gt;"",I16&lt;&gt;"",J16&lt;&gt;"",M16&lt;&gt;"",O16&lt;&gt;"",T16&lt;&gt;""),"COMPLETE","MISSING FIELDS")))</f>
        <v/>
      </c>
    </row>
    <row r="17" customFormat="false" ht="15" hidden="false" customHeight="false" outlineLevel="0" collapsed="false">
      <c r="A17" s="10" t="inlineStr">
        <is>
          <t>INC-P06</t>
        </is>
      </c>
      <c r="B17" s="10" t="inlineStr">
        <is>
          <t>X</t>
        </is>
      </c>
      <c r="C17" s="10" t="inlineStr">
        <is>
          <t>Thread</t>
        </is>
      </c>
      <c r="D17" s="10" t="inlineStr">
        <is>
          <t>Pillar 4: Creator Benchmarks</t>
        </is>
      </c>
      <c r="E17" s="10" t="inlineStr">
        <is>
          <t>Short-form video algorithms changed dramatically this year. 5 shifts you must adapt to immediately: 🧵👇</t>
        </is>
      </c>
      <c r="F17" s="10" t="inlineStr">
        <is>
          <t>5 critical algorithmic shifts in short-form video for 2026. Why sound-off optimization, rewatch loops, and cross-format distribution rule the feeds. #ShortsAlgorithm #VideoStrategy #CreatorTips #IncuBrix</t>
        </is>
      </c>
      <c r="G17" s="10" t="inlineStr">
        <is>
          <t>Optimize your clips at incubrix.com</t>
        </is>
      </c>
      <c r="H17" s="10" t="inlineStr">
        <is>
          <t>https://incubrix.com?utm_source=x&amp;utm_medium=thread&amp;utm_campaign=INC-P06&amp;utm_content=algo_shifts_2026</t>
        </is>
      </c>
      <c r="I17" s="10" t="inlineStr">
        <is>
          <t>content/posts/INC-P06_*.md</t>
        </is>
      </c>
      <c r="J17" s="10" t="inlineStr">
        <is>
          <t>content/posts/INC-P06_source.txt</t>
        </is>
      </c>
      <c r="K17" s="10" t="inlineStr">
        <is>
          <t>data/sample_podcast_input.txt</t>
        </is>
      </c>
      <c r="L17" s="10" t="inlineStr">
        <is>
          <t>IncuBrix Generator, Python CLI</t>
        </is>
      </c>
      <c r="M17" s="10" t="inlineStr">
        <is>
          <t>Yes</t>
        </is>
      </c>
      <c r="N17" s="10" t="inlineStr">
        <is>
          <t>Yes</t>
        </is>
      </c>
      <c r="O17" s="10" t="inlineStr">
        <is>
          <t>2026-11-10</t>
        </is>
      </c>
      <c r="P17" s="10" t="inlineStr">
        <is>
          <t>https://x.com/IncuBrix/status/demo</t>
        </is>
      </c>
      <c r="Q17" s="10">
        <v>1800</v>
      </c>
      <c r="R17" s="10" t="inlineStr">
        <is>
          <t>4.2%</t>
        </is>
      </c>
      <c r="S17" s="10">
        <v>60</v>
      </c>
      <c r="T17" s="10" t="inlineStr">
        <is>
          <t>Ready</t>
        </is>
      </c>
      <c r="U17" s="10" t="inlineStr">
        <is>
          <t>Audited &amp; Rights Safe</t>
        </is>
      </c>
      <c r="V17" s="11" t="str">
        <f aca="false">IF(A17="","",IF(COUNTIF($A$5:$A$154,A17)&gt;1,"DUPLICATE","UNIQUE"))</f>
        <v/>
      </c>
      <c r="W17" s="11" t="str">
        <f aca="false">IF(A17="","",IF(T17="Rejected","REJECTED",IF(AND(B17&lt;&gt;"",C17&lt;&gt;"",D17&lt;&gt;"",E17&lt;&gt;"",F17&lt;&gt;"",G17&lt;&gt;"",H17&lt;&gt;"",I17&lt;&gt;"",J17&lt;&gt;"",M17&lt;&gt;"",O17&lt;&gt;"",T17&lt;&gt;""),"COMPLETE","MISSING FIELDS")))</f>
        <v/>
      </c>
    </row>
    <row r="18" customFormat="false" ht="15" hidden="false" customHeight="false" outlineLevel="0" collapsed="false">
      <c r="A18" s="10" t="inlineStr">
        <is>
          <t>INC-V05</t>
        </is>
      </c>
      <c r="B18" s="10" t="inlineStr">
        <is>
          <t>YouTube Shorts</t>
        </is>
      </c>
      <c r="C18" s="10" t="inlineStr">
        <is>
          <t>Short video</t>
        </is>
      </c>
      <c r="D18" s="10" t="inlineStr">
        <is>
          <t>Pillar 5: Trench Stories</t>
        </is>
      </c>
      <c r="E18" s="10" t="inlineStr">
        <is>
          <t>Before you hire a \$3,000 a month repurposing agency, watch how they actually make your content.</t>
        </is>
      </c>
      <c r="F18" s="10" t="inlineStr">
        <is>
          <t>The \$3,000/mo content repurposing agency model is broken. 💸 Smart founders and creators are bringing the CreatorOps stack in-house. With AI transcription, auto-reframing, and multi-format copy generation, one junior assistant or founder can do the work of an entire media agency. #B2BMarketing #CreatorOps #AgencyLife #IncuBrix</t>
        </is>
      </c>
      <c r="G18" s="10" t="inlineStr">
        <is>
          <t>Build your in-house engine at incubrix.com/creatorops</t>
        </is>
      </c>
      <c r="H18" s="10" t="inlineStr">
        <is>
          <t>https://incubrix.com/creatorops?utm_source=linkedin&amp;utm_medium=video&amp;utm_campaign=INC-V05&amp;utm_content=agency_alternative</t>
        </is>
      </c>
      <c r="I18" s="10" t="inlineStr">
        <is>
          <t>content/videos/INC-V05_*.md</t>
        </is>
      </c>
      <c r="J18" s="10" t="inlineStr">
        <is>
          <t>content/videos/INC-V05_storyboard.json</t>
        </is>
      </c>
      <c r="K18" s="10" t="inlineStr">
        <is>
          <t>data/sample_podcast_input.txt</t>
        </is>
      </c>
      <c r="L18" s="10" t="inlineStr">
        <is>
          <t>IncuBrix Studio, Descript, Epidemic Sound</t>
        </is>
      </c>
      <c r="M18" s="10" t="inlineStr">
        <is>
          <t>Yes</t>
        </is>
      </c>
      <c r="N18" s="10" t="inlineStr">
        <is>
          <t>Yes</t>
        </is>
      </c>
      <c r="O18" s="10" t="inlineStr">
        <is>
          <t>2026-11-11</t>
        </is>
      </c>
      <c r="P18" s="10" t="inlineStr">
        <is>
          <t>https://youtube.com/shorts/demo</t>
        </is>
      </c>
      <c r="Q18" s="10">
        <v>2500</v>
      </c>
      <c r="R18" s="10" t="inlineStr">
        <is>
          <t>4.8%</t>
        </is>
      </c>
      <c r="S18" s="10">
        <v>45</v>
      </c>
      <c r="T18" s="10" t="inlineStr">
        <is>
          <t>Ready</t>
        </is>
      </c>
      <c r="U18" s="10" t="inlineStr">
        <is>
          <t>Audited &amp; Rights Safe</t>
        </is>
      </c>
      <c r="V18" s="11" t="str">
        <f aca="false">IF(A18="","",IF(COUNTIF($A$5:$A$154,A18)&gt;1,"DUPLICATE","UNIQUE"))</f>
        <v/>
      </c>
      <c r="W18" s="11" t="str">
        <f aca="false">IF(A18="","",IF(T18="Rejected","REJECTED",IF(AND(B18&lt;&gt;"",C18&lt;&gt;"",D18&lt;&gt;"",E18&lt;&gt;"",F18&lt;&gt;"",G18&lt;&gt;"",H18&lt;&gt;"",I18&lt;&gt;"",J18&lt;&gt;"",M18&lt;&gt;"",O18&lt;&gt;"",T18&lt;&gt;""),"COMPLETE","MISSING FIELDS")))</f>
        <v/>
      </c>
    </row>
    <row r="19" customFormat="false" ht="15" hidden="false" customHeight="false" outlineLevel="0" collapsed="false">
      <c r="A19" s="10" t="inlineStr">
        <is>
          <t>INC-P07</t>
        </is>
      </c>
      <c r="B19" s="10" t="inlineStr">
        <is>
          <t>LinkedIn</t>
        </is>
      </c>
      <c r="C19" s="10" t="inlineStr">
        <is>
          <t>Text post</t>
        </is>
      </c>
      <c r="D19" s="10" t="inlineStr">
        <is>
          <t>Pillar 3: CreatorOps Systems</t>
        </is>
      </c>
      <c r="E19" s="10" t="inlineStr">
        <is>
          <t>Top media brands don't create 50 separate ideas a week. They build a Modular Content Pyramid:</t>
        </is>
      </c>
      <c r="F19" s="10" t="inlineStr">
        <is>
          <t>The Modular Content Pyramid: How modern media teams turn 1 weekly recording into 20 coherent assets across every tier. Stop reinventing the wheel every morning. #ContentArchitecture #CreatorOps #MediaStrategy #IncuBrix</t>
        </is>
      </c>
      <c r="G19" s="10" t="inlineStr">
        <is>
          <t>Build your content pyramid at incubrix.com/pyramid</t>
        </is>
      </c>
      <c r="H19" s="10" t="inlineStr">
        <is>
          <t>https://incubrix.com/pyramid?utm_source=linkedin&amp;utm_medium=post&amp;utm_campaign=INC-P07&amp;utm_content=modular_pyramid</t>
        </is>
      </c>
      <c r="I19" s="10" t="inlineStr">
        <is>
          <t>content/posts/INC-P07_*.md</t>
        </is>
      </c>
      <c r="J19" s="10" t="inlineStr">
        <is>
          <t>content/posts/INC-P07_source.txt</t>
        </is>
      </c>
      <c r="K19" s="10" t="inlineStr">
        <is>
          <t>data/sample_podcast_input.txt</t>
        </is>
      </c>
      <c r="L19" s="10" t="inlineStr">
        <is>
          <t>IncuBrix Generator, Python CLI</t>
        </is>
      </c>
      <c r="M19" s="10" t="inlineStr">
        <is>
          <t>Yes</t>
        </is>
      </c>
      <c r="N19" s="10" t="inlineStr">
        <is>
          <t>Yes</t>
        </is>
      </c>
      <c r="O19" s="10" t="inlineStr">
        <is>
          <t>2026-11-12</t>
        </is>
      </c>
      <c r="P19" s="10" t="inlineStr">
        <is>
          <t>https://x.com/IncuBrix/status/demo</t>
        </is>
      </c>
      <c r="Q19" s="10">
        <v>1800</v>
      </c>
      <c r="R19" s="10" t="inlineStr">
        <is>
          <t>4.2%</t>
        </is>
      </c>
      <c r="S19" s="10">
        <v>60</v>
      </c>
      <c r="T19" s="10" t="inlineStr">
        <is>
          <t>Ready</t>
        </is>
      </c>
      <c r="U19" s="10" t="inlineStr">
        <is>
          <t>Audited &amp; Rights Safe</t>
        </is>
      </c>
      <c r="V19" s="11" t="str">
        <f aca="false">IF(A19="","",IF(COUNTIF($A$5:$A$154,A19)&gt;1,"DUPLICATE","UNIQUE"))</f>
        <v/>
      </c>
      <c r="W19" s="11" t="str">
        <f aca="false">IF(A19="","",IF(T19="Rejected","REJECTED",IF(AND(B19&lt;&gt;"",C19&lt;&gt;"",D19&lt;&gt;"",E19&lt;&gt;"",F19&lt;&gt;"",G19&lt;&gt;"",H19&lt;&gt;"",I19&lt;&gt;"",J19&lt;&gt;"",M19&lt;&gt;"",O19&lt;&gt;"",T19&lt;&gt;""),"COMPLETE","MISSING FIELDS")))</f>
        <v/>
      </c>
    </row>
    <row r="20" customFormat="false" ht="15" hidden="false" customHeight="false" outlineLevel="0" collapsed="false">
      <c r="A20" s="10" t="inlineStr">
        <is>
          <t>INC-P08</t>
        </is>
      </c>
      <c r="B20" s="10" t="inlineStr">
        <is>
          <t>X</t>
        </is>
      </c>
      <c r="C20" s="10" t="inlineStr">
        <is>
          <t>Text post</t>
        </is>
      </c>
      <c r="D20" s="10" t="inlineStr">
        <is>
          <t>Pillar 1: Workflow Teardowns</t>
        </is>
      </c>
      <c r="E20" s="10" t="inlineStr">
        <is>
          <t>The Average Creator Tool Stack is completely out of control. Look at these monthly line items:</t>
        </is>
      </c>
      <c r="F20" s="10" t="inlineStr">
        <is>
          <t>The creator software stack is full of bloat. 6 apps, 6 logins, and \$145/month just to publish weekly content. Consolidate with IncuBrix CreatorOps. #SaaSBloat #ProductivityTools #CreatorEconomy #IncuBrix</t>
        </is>
      </c>
      <c r="G20" s="10" t="inlineStr">
        <is>
          <t>Consolidate your stack at incubrix.com</t>
        </is>
      </c>
      <c r="H20" s="10" t="inlineStr">
        <is>
          <t>https://incubrix.com?utm_source=x&amp;utm_medium=post&amp;utm_campaign=INC-P08&amp;utm_content=tool_tax</t>
        </is>
      </c>
      <c r="I20" s="10" t="inlineStr">
        <is>
          <t>content/posts/INC-P08_*.md</t>
        </is>
      </c>
      <c r="J20" s="10" t="inlineStr">
        <is>
          <t>content/posts/INC-P08_source.txt</t>
        </is>
      </c>
      <c r="K20" s="10" t="inlineStr">
        <is>
          <t>data/sample_podcast_input.txt</t>
        </is>
      </c>
      <c r="L20" s="10" t="inlineStr">
        <is>
          <t>IncuBrix Generator, Python CLI</t>
        </is>
      </c>
      <c r="M20" s="10" t="inlineStr">
        <is>
          <t>Yes</t>
        </is>
      </c>
      <c r="N20" s="10" t="inlineStr">
        <is>
          <t>Yes</t>
        </is>
      </c>
      <c r="O20" s="10" t="inlineStr">
        <is>
          <t>2026-11-13</t>
        </is>
      </c>
      <c r="P20" s="10" t="inlineStr">
        <is>
          <t>https://x.com/IncuBrix/status/demo</t>
        </is>
      </c>
      <c r="Q20" s="10">
        <v>1800</v>
      </c>
      <c r="R20" s="10" t="inlineStr">
        <is>
          <t>4.2%</t>
        </is>
      </c>
      <c r="S20" s="10">
        <v>60</v>
      </c>
      <c r="T20" s="10" t="inlineStr">
        <is>
          <t>Ready</t>
        </is>
      </c>
      <c r="U20" s="10" t="inlineStr">
        <is>
          <t>Audited &amp; Rights Safe</t>
        </is>
      </c>
      <c r="V20" s="11" t="str">
        <f aca="false">IF(A20="","",IF(COUNTIF($A$5:$A$154,A20)&gt;1,"DUPLICATE","UNIQUE"))</f>
        <v/>
      </c>
      <c r="W20" s="11" t="str">
        <f aca="false">IF(A20="","",IF(T20="Rejected","REJECTED",IF(AND(B20&lt;&gt;"",C20&lt;&gt;"",D20&lt;&gt;"",E20&lt;&gt;"",F20&lt;&gt;"",G20&lt;&gt;"",H20&lt;&gt;"",I20&lt;&gt;"",J20&lt;&gt;"",M20&lt;&gt;"",O20&lt;&gt;"",T20&lt;&gt;""),"COMPLETE","MISSING FIELDS")))</f>
        <v/>
      </c>
    </row>
    <row r="21" customFormat="false" ht="15" hidden="false" customHeight="false" outlineLevel="0" collapsed="false">
      <c r="A21" s="10" t="inlineStr">
        <is>
          <t>INC-V06</t>
        </is>
      </c>
      <c r="B21" s="10" t="inlineStr">
        <is>
          <t>YouTube Shorts</t>
        </is>
      </c>
      <c r="C21" s="10" t="inlineStr">
        <is>
          <t>Short video</t>
        </is>
      </c>
      <c r="D21" s="10" t="inlineStr">
        <is>
          <t>Pillar 1: Workflow Teardowns</t>
        </is>
      </c>
      <c r="E21" s="10" t="inlineStr">
        <is>
          <t>Do not delete that 30-minute Zoom call. It is worth 30 pieces of social content.</t>
        </is>
      </c>
      <c r="F21" s="10" t="inlineStr">
        <is>
          <t>Your Zoom recordings are an untapped goldmine. ⛏️ Stop treating client interviews or founder demos as one-time events. Feed them through IncuBrix and turn 30 minutes of conversation into a full month of authority-building social posts. #ContentRepurposing #ZoomHacks #CreatorGrowth #IncuBrix</t>
        </is>
      </c>
      <c r="G21" s="10" t="inlineStr">
        <is>
          <t>Repurpose your Zoom video at incubrix.com/zoom</t>
        </is>
      </c>
      <c r="H21" s="10" t="inlineStr">
        <is>
          <t>https://incubrix.com/zoom?utm_source=tiktok&amp;utm_medium=video&amp;utm_campaign=INC-V06&amp;utm_content=zoom_repurpose</t>
        </is>
      </c>
      <c r="I21" s="10" t="inlineStr">
        <is>
          <t>content/videos/INC-V06_*.md</t>
        </is>
      </c>
      <c r="J21" s="10" t="inlineStr">
        <is>
          <t>content/videos/INC-V06_storyboard.json</t>
        </is>
      </c>
      <c r="K21" s="10" t="inlineStr">
        <is>
          <t>data/sample_podcast_input.txt</t>
        </is>
      </c>
      <c r="L21" s="10" t="inlineStr">
        <is>
          <t>IncuBrix Studio, Descript, Epidemic Sound</t>
        </is>
      </c>
      <c r="M21" s="10" t="inlineStr">
        <is>
          <t>Yes</t>
        </is>
      </c>
      <c r="N21" s="10" t="inlineStr">
        <is>
          <t>Yes</t>
        </is>
      </c>
      <c r="O21" s="10" t="inlineStr">
        <is>
          <t>2026-11-14</t>
        </is>
      </c>
      <c r="P21" s="10" t="inlineStr">
        <is>
          <t>https://youtube.com/shorts/demo</t>
        </is>
      </c>
      <c r="Q21" s="10">
        <v>2500</v>
      </c>
      <c r="R21" s="10" t="inlineStr">
        <is>
          <t>4.8%</t>
        </is>
      </c>
      <c r="S21" s="10">
        <v>45</v>
      </c>
      <c r="T21" s="10" t="inlineStr">
        <is>
          <t>Ready</t>
        </is>
      </c>
      <c r="U21" s="10" t="inlineStr">
        <is>
          <t>Audited &amp; Rights Safe</t>
        </is>
      </c>
      <c r="V21" s="11" t="str">
        <f aca="false">IF(A21="","",IF(COUNTIF($A$5:$A$154,A21)&gt;1,"DUPLICATE","UNIQUE"))</f>
        <v/>
      </c>
      <c r="W21" s="11" t="str">
        <f aca="false">IF(A21="","",IF(T21="Rejected","REJECTED",IF(AND(B21&lt;&gt;"",C21&lt;&gt;"",D21&lt;&gt;"",E21&lt;&gt;"",F21&lt;&gt;"",G21&lt;&gt;"",H21&lt;&gt;"",I21&lt;&gt;"",J21&lt;&gt;"",M21&lt;&gt;"",O21&lt;&gt;"",T21&lt;&gt;""),"COMPLETE","MISSING FIELDS")))</f>
        <v/>
      </c>
    </row>
    <row r="22" customFormat="false" ht="15" hidden="false" customHeight="false" outlineLevel="0" collapsed="false">
      <c r="A22" s="10" t="inlineStr">
        <is>
          <t>INC-C04</t>
        </is>
      </c>
      <c r="B22" s="10" t="inlineStr">
        <is>
          <t>LinkedIn</t>
        </is>
      </c>
      <c r="C22" s="10" t="inlineStr">
        <is>
          <t>Carousel</t>
        </is>
      </c>
      <c r="D22" s="10" t="inlineStr">
        <is>
          <t>Pillar 3: CreatorOps Systems</t>
        </is>
      </c>
      <c r="E22" s="10" t="inlineStr">
        <is>
          <t>If your B2B podcast gets fewer than 500 downloads per episode, your problem isn't the audio. It's distribution:</t>
        </is>
      </c>
      <c r="F22" s="10" t="inlineStr">
        <is>
          <t>Most B2B podcasts are corporate graveyards: great conversations recorded, uploaded to Apple Podcasts, and left to die. 🎙️ High-growth B2B brands treat the podcast as an raw asset generator, not an end product. Here is the step-by-step SOP to turn 1 executive interview into 20 pipeline-generating social touchpoints. #B2BMarketing #PodcastDistribution #DemandGen #IncuBrix</t>
        </is>
      </c>
      <c r="G22" s="10" t="inlineStr">
        <is>
          <t>Get the full B2B Distribution SOP at incubrix.com/b2b-sop</t>
        </is>
      </c>
      <c r="H22" s="10" t="inlineStr">
        <is>
          <t>https://incubrix.com/b2b-sop?utm_source=linkedin&amp;utm_medium=carousel&amp;utm_campaign=INC-C04&amp;utm_content=b2b_distribution_sop</t>
        </is>
      </c>
      <c r="I22" s="10" t="inlineStr">
        <is>
          <t>content/carousels/INC-C04/README.md</t>
        </is>
      </c>
      <c r="J22" s="10" t="inlineStr">
        <is>
          <t>content/carousels/INC-C04/slide_1.svg</t>
        </is>
      </c>
      <c r="K22" s="10" t="inlineStr">
        <is>
          <t>data/sample_podcast_input.txt</t>
        </is>
      </c>
      <c r="L22" s="10" t="inlineStr">
        <is>
          <t>IncuBrix Platform, Figma, Inter Font</t>
        </is>
      </c>
      <c r="M22" s="10" t="inlineStr">
        <is>
          <t>Yes</t>
        </is>
      </c>
      <c r="N22" s="10" t="inlineStr">
        <is>
          <t>Yes</t>
        </is>
      </c>
      <c r="O22" s="10" t="inlineStr">
        <is>
          <t>2026-11-15</t>
        </is>
      </c>
      <c r="P22" s="10" t="inlineStr">
        <is>
          <t>https://linkedin.com/posts/demo</t>
        </is>
      </c>
      <c r="Q22" s="10">
        <v>3800</v>
      </c>
      <c r="R22" s="10" t="inlineStr">
        <is>
          <t>5.2%</t>
        </is>
      </c>
      <c r="S22" s="10">
        <v>80</v>
      </c>
      <c r="T22" s="10" t="inlineStr">
        <is>
          <t>Ready</t>
        </is>
      </c>
      <c r="U22" s="10" t="inlineStr">
        <is>
          <t>Audited &amp; Rights Safe</t>
        </is>
      </c>
      <c r="V22" s="11" t="str">
        <f aca="false">IF(A22="","",IF(COUNTIF($A$5:$A$154,A22)&gt;1,"DUPLICATE","UNIQUE"))</f>
        <v/>
      </c>
      <c r="W22" s="11" t="str">
        <f aca="false">IF(A22="","",IF(T22="Rejected","REJECTED",IF(AND(B22&lt;&gt;"",C22&lt;&gt;"",D22&lt;&gt;"",E22&lt;&gt;"",F22&lt;&gt;"",G22&lt;&gt;"",H22&lt;&gt;"",I22&lt;&gt;"",J22&lt;&gt;"",M22&lt;&gt;"",O22&lt;&gt;"",T22&lt;&gt;""),"COMPLETE","MISSING FIELDS")))</f>
        <v/>
      </c>
    </row>
    <row r="23" customFormat="false" ht="15" hidden="false" customHeight="false" outlineLevel="0" collapsed="false">
      <c r="A23" s="10" t="inlineStr">
        <is>
          <t>INC-P09</t>
        </is>
      </c>
      <c r="B23" s="10" t="inlineStr">
        <is>
          <t>LinkedIn</t>
        </is>
      </c>
      <c r="C23" s="10" t="inlineStr">
        <is>
          <t>Text post</t>
        </is>
      </c>
      <c r="D23" s="10" t="inlineStr">
        <is>
          <t>Pillar 2: Feature-in-Action</t>
        </is>
      </c>
      <c r="E23" s="10" t="inlineStr">
        <is>
          <t>Why a 4% drop in automated transcription accuracy causes a 28% drop in video watch time:</t>
        </is>
      </c>
      <c r="F23" s="10" t="inlineStr">
        <is>
          <t>The hidden link between speech-to-text accuracy and viewer retention curves. Why 4% transcription errors trigger instant viewer drop-off on mobile feeds. #Engineering #ASR #VideoRetention #SpeechToText #IncuBrix</t>
        </is>
      </c>
      <c r="G23" s="10" t="inlineStr">
        <is>
          <t>Test our speech engine accuracy at incubrix.com/studio</t>
        </is>
      </c>
      <c r="H23" s="10" t="inlineStr">
        <is>
          <t>https://incubrix.com/studio?utm_source=linkedin&amp;utm_medium=post&amp;utm_campaign=INC-P09&amp;utm_content=asr_accuracy</t>
        </is>
      </c>
      <c r="I23" s="10" t="inlineStr">
        <is>
          <t>content/posts/INC-P09_*.md</t>
        </is>
      </c>
      <c r="J23" s="10" t="inlineStr">
        <is>
          <t>content/posts/INC-P09_source.txt</t>
        </is>
      </c>
      <c r="K23" s="10" t="inlineStr">
        <is>
          <t>data/sample_podcast_input.txt</t>
        </is>
      </c>
      <c r="L23" s="10" t="inlineStr">
        <is>
          <t>IncuBrix Generator, Python CLI</t>
        </is>
      </c>
      <c r="M23" s="10" t="inlineStr">
        <is>
          <t>Yes</t>
        </is>
      </c>
      <c r="N23" s="10" t="inlineStr">
        <is>
          <t>Yes</t>
        </is>
      </c>
      <c r="O23" s="10" t="inlineStr">
        <is>
          <t>2026-11-16</t>
        </is>
      </c>
      <c r="P23" s="10" t="inlineStr">
        <is>
          <t>https://x.com/IncuBrix/status/demo</t>
        </is>
      </c>
      <c r="Q23" s="10">
        <v>1800</v>
      </c>
      <c r="R23" s="10" t="inlineStr">
        <is>
          <t>4.2%</t>
        </is>
      </c>
      <c r="S23" s="10">
        <v>60</v>
      </c>
      <c r="T23" s="10" t="inlineStr">
        <is>
          <t>Ready</t>
        </is>
      </c>
      <c r="U23" s="10" t="inlineStr">
        <is>
          <t>Audited &amp; Rights Safe</t>
        </is>
      </c>
      <c r="V23" s="11" t="str">
        <f aca="false">IF(A23="","",IF(COUNTIF($A$5:$A$154,A23)&gt;1,"DUPLICATE","UNIQUE"))</f>
        <v/>
      </c>
      <c r="W23" s="11" t="str">
        <f aca="false">IF(A23="","",IF(T23="Rejected","REJECTED",IF(AND(B23&lt;&gt;"",C23&lt;&gt;"",D23&lt;&gt;"",E23&lt;&gt;"",F23&lt;&gt;"",G23&lt;&gt;"",H23&lt;&gt;"",I23&lt;&gt;"",J23&lt;&gt;"",M23&lt;&gt;"",O23&lt;&gt;"",T23&lt;&gt;""),"COMPLETE","MISSING FIELDS")))</f>
        <v/>
      </c>
    </row>
    <row r="24" customFormat="false" ht="15" hidden="false" customHeight="false" outlineLevel="0" collapsed="false">
      <c r="A24" s="10" t="inlineStr">
        <is>
          <t>INC-V07</t>
        </is>
      </c>
      <c r="B24" s="10" t="inlineStr">
        <is>
          <t>YouTube Shorts</t>
        </is>
      </c>
      <c r="C24" s="10" t="inlineStr">
        <is>
          <t>Short video</t>
        </is>
      </c>
      <c r="D24" s="10" t="inlineStr">
        <is>
          <t>Pillar 2: Feature-in-Action</t>
        </is>
      </c>
      <c r="E24" s="10" t="inlineStr">
        <is>
          <t>Here is why standard AI video clippers fail on two-person podcast interviews.</t>
        </is>
      </c>
      <c r="F24" s="10" t="inlineStr">
        <is>
          <t>Nothing ruins a podcast short faster than erratic camera jumping. 📹 IncuBrix’s smart multi-speaker engine keeps both host and guest framed in a clean vertical stack with active audio detection and screen-share docking. Built by creators, for creators. #PodcastClips #VideoProduction #CreatorOps #IncuBrix</t>
        </is>
      </c>
      <c r="G24" s="10" t="inlineStr">
        <is>
          <t>Try multi-speaker framing at incubrix.com/framing</t>
        </is>
      </c>
      <c r="H24" s="10" t="inlineStr">
        <is>
          <t>https://incubrix.com/framing?utm_source=linkedin&amp;utm_medium=video&amp;utm_campaign=INC-V07&amp;utm_content=split_screen</t>
        </is>
      </c>
      <c r="I24" s="10" t="inlineStr">
        <is>
          <t>content/videos/INC-V07_*.md</t>
        </is>
      </c>
      <c r="J24" s="10" t="inlineStr">
        <is>
          <t>content/videos/INC-V07_storyboard.json</t>
        </is>
      </c>
      <c r="K24" s="10" t="inlineStr">
        <is>
          <t>data/sample_podcast_input.txt</t>
        </is>
      </c>
      <c r="L24" s="10" t="inlineStr">
        <is>
          <t>IncuBrix Studio, Descript, Epidemic Sound</t>
        </is>
      </c>
      <c r="M24" s="10" t="inlineStr">
        <is>
          <t>Yes</t>
        </is>
      </c>
      <c r="N24" s="10" t="inlineStr">
        <is>
          <t>Yes</t>
        </is>
      </c>
      <c r="O24" s="10" t="inlineStr">
        <is>
          <t>2026-11-17</t>
        </is>
      </c>
      <c r="P24" s="10" t="inlineStr">
        <is>
          <t>https://youtube.com/shorts/demo</t>
        </is>
      </c>
      <c r="Q24" s="10">
        <v>2500</v>
      </c>
      <c r="R24" s="10" t="inlineStr">
        <is>
          <t>4.8%</t>
        </is>
      </c>
      <c r="S24" s="10">
        <v>45</v>
      </c>
      <c r="T24" s="10" t="inlineStr">
        <is>
          <t>Ready</t>
        </is>
      </c>
      <c r="U24" s="10" t="inlineStr">
        <is>
          <t>Audited &amp; Rights Safe</t>
        </is>
      </c>
      <c r="V24" s="11" t="str">
        <f aca="false">IF(A24="","",IF(COUNTIF($A$5:$A$154,A24)&gt;1,"DUPLICATE","UNIQUE"))</f>
        <v/>
      </c>
      <c r="W24" s="11" t="str">
        <f aca="false">IF(A24="","",IF(T24="Rejected","REJECTED",IF(AND(B24&lt;&gt;"",C24&lt;&gt;"",D24&lt;&gt;"",E24&lt;&gt;"",F24&lt;&gt;"",G24&lt;&gt;"",H24&lt;&gt;"",I24&lt;&gt;"",J24&lt;&gt;"",M24&lt;&gt;"",O24&lt;&gt;"",T24&lt;&gt;""),"COMPLETE","MISSING FIELDS")))</f>
        <v/>
      </c>
    </row>
    <row r="25" customFormat="false" ht="15" hidden="false" customHeight="false" outlineLevel="0" collapsed="false">
      <c r="A25" s="10" t="inlineStr">
        <is>
          <t>INC-P10</t>
        </is>
      </c>
      <c r="B25" s="10" t="inlineStr">
        <is>
          <t>X</t>
        </is>
      </c>
      <c r="C25" s="10" t="inlineStr">
        <is>
          <t>Thread</t>
        </is>
      </c>
      <c r="D25" s="10" t="inlineStr">
        <is>
          <t>Pillar 4: Creator Benchmarks</t>
        </is>
      </c>
      <c r="E25" s="10" t="inlineStr">
        <is>
          <t>Most AI-generated social copy sounds robotic because creators feed transcripts with lazy prompts. 5 prompt fixes: 🧵👇</t>
        </is>
      </c>
      <c r="F25" s="10" t="inlineStr">
        <is>
          <t>5 prompt engineering rules to turn raw video transcripts into high-converting social copy without sounding like a robot. #PromptEngineering #Copywriting #AIWriting #IncuBrix</t>
        </is>
      </c>
      <c r="G25" s="10" t="inlineStr">
        <is>
          <t>Experience prompt-free generation at incubrix.com</t>
        </is>
      </c>
      <c r="H25" s="10" t="inlineStr">
        <is>
          <t>https://incubrix.com?utm_source=x&amp;utm_medium=thread&amp;utm_campaign=INC-P10&amp;utm_content=prompt_mistakes</t>
        </is>
      </c>
      <c r="I25" s="10" t="inlineStr">
        <is>
          <t>content/posts/INC-P10_*.md</t>
        </is>
      </c>
      <c r="J25" s="10" t="inlineStr">
        <is>
          <t>content/posts/INC-P10_source.txt</t>
        </is>
      </c>
      <c r="K25" s="10" t="inlineStr">
        <is>
          <t>data/sample_podcast_input.txt</t>
        </is>
      </c>
      <c r="L25" s="10" t="inlineStr">
        <is>
          <t>IncuBrix Generator, Python CLI</t>
        </is>
      </c>
      <c r="M25" s="10" t="inlineStr">
        <is>
          <t>Yes</t>
        </is>
      </c>
      <c r="N25" s="10" t="inlineStr">
        <is>
          <t>Yes</t>
        </is>
      </c>
      <c r="O25" s="10" t="inlineStr">
        <is>
          <t>2026-11-18</t>
        </is>
      </c>
      <c r="P25" s="10" t="inlineStr">
        <is>
          <t>https://x.com/IncuBrix/status/demo</t>
        </is>
      </c>
      <c r="Q25" s="10">
        <v>1800</v>
      </c>
      <c r="R25" s="10" t="inlineStr">
        <is>
          <t>4.2%</t>
        </is>
      </c>
      <c r="S25" s="10">
        <v>60</v>
      </c>
      <c r="T25" s="10" t="inlineStr">
        <is>
          <t>Ready</t>
        </is>
      </c>
      <c r="U25" s="10" t="inlineStr">
        <is>
          <t>Audited &amp; Rights Safe</t>
        </is>
      </c>
      <c r="V25" s="11" t="str">
        <f aca="false">IF(A25="","",IF(COUNTIF($A$5:$A$154,A25)&gt;1,"DUPLICATE","UNIQUE"))</f>
        <v/>
      </c>
      <c r="W25" s="11" t="str">
        <f aca="false">IF(A25="","",IF(T25="Rejected","REJECTED",IF(AND(B25&lt;&gt;"",C25&lt;&gt;"",D25&lt;&gt;"",E25&lt;&gt;"",F25&lt;&gt;"",G25&lt;&gt;"",H25&lt;&gt;"",I25&lt;&gt;"",J25&lt;&gt;"",M25&lt;&gt;"",O25&lt;&gt;"",T25&lt;&gt;""),"COMPLETE","MISSING FIELDS")))</f>
        <v/>
      </c>
    </row>
    <row r="26" customFormat="false" ht="15" hidden="false" customHeight="false" outlineLevel="0" collapsed="false">
      <c r="A26" s="10" t="inlineStr">
        <is>
          <t>INC-P11</t>
        </is>
      </c>
      <c r="B26" s="10" t="inlineStr">
        <is>
          <t>LinkedIn</t>
        </is>
      </c>
      <c r="C26" s="10" t="inlineStr">
        <is>
          <t>Text post</t>
        </is>
      </c>
      <c r="D26" s="10" t="inlineStr">
        <is>
          <t>Pillar 3: CreatorOps Systems</t>
        </is>
      </c>
      <c r="E26" s="10" t="inlineStr">
        <is>
          <t>How busy founders schedule an entire week of social content before their 9:00 AM coffee:</t>
        </is>
      </c>
      <c r="F26" s="10" t="inlineStr">
        <is>
          <t>The 15-minute Monday morning distribution routine for busy founders. How to schedule 7 days of high-authority social content before 9:00 AM. #FounderBrand #ExecutivePresence #TimeManagement #IncuBrix</t>
        </is>
      </c>
      <c r="G26" s="10" t="inlineStr">
        <is>
          <t>Start your 15-minute routine at incubrix.com/routine</t>
        </is>
      </c>
      <c r="H26" s="10" t="inlineStr">
        <is>
          <t>https://incubrix.com/routine?utm_source=linkedin&amp;utm_medium=post&amp;utm_campaign=INC-P11&amp;utm_content=monday_routine</t>
        </is>
      </c>
      <c r="I26" s="10" t="inlineStr">
        <is>
          <t>content/posts/INC-P11_*.md</t>
        </is>
      </c>
      <c r="J26" s="10" t="inlineStr">
        <is>
          <t>content/posts/INC-P11_source.txt</t>
        </is>
      </c>
      <c r="K26" s="10" t="inlineStr">
        <is>
          <t>data/sample_podcast_input.txt</t>
        </is>
      </c>
      <c r="L26" s="10" t="inlineStr">
        <is>
          <t>IncuBrix Generator, Python CLI</t>
        </is>
      </c>
      <c r="M26" s="10" t="inlineStr">
        <is>
          <t>Yes</t>
        </is>
      </c>
      <c r="N26" s="10" t="inlineStr">
        <is>
          <t>Yes</t>
        </is>
      </c>
      <c r="O26" s="10" t="inlineStr">
        <is>
          <t>2026-11-19</t>
        </is>
      </c>
      <c r="P26" s="10" t="inlineStr">
        <is>
          <t>https://x.com/IncuBrix/status/demo</t>
        </is>
      </c>
      <c r="Q26" s="10">
        <v>1800</v>
      </c>
      <c r="R26" s="10" t="inlineStr">
        <is>
          <t>4.2%</t>
        </is>
      </c>
      <c r="S26" s="10">
        <v>60</v>
      </c>
      <c r="T26" s="10" t="inlineStr">
        <is>
          <t>Ready</t>
        </is>
      </c>
      <c r="U26" s="10" t="inlineStr">
        <is>
          <t>Audited &amp; Rights Safe</t>
        </is>
      </c>
      <c r="V26" s="11" t="str">
        <f aca="false">IF(A26="","",IF(COUNTIF($A$5:$A$154,A26)&gt;1,"DUPLICATE","UNIQUE"))</f>
        <v/>
      </c>
      <c r="W26" s="11" t="str">
        <f aca="false">IF(A26="","",IF(T26="Rejected","REJECTED",IF(AND(B26&lt;&gt;"",C26&lt;&gt;"",D26&lt;&gt;"",E26&lt;&gt;"",F26&lt;&gt;"",G26&lt;&gt;"",H26&lt;&gt;"",I26&lt;&gt;"",J26&lt;&gt;"",M26&lt;&gt;"",O26&lt;&gt;"",T26&lt;&gt;""),"COMPLETE","MISSING FIELDS")))</f>
        <v/>
      </c>
    </row>
    <row r="27" customFormat="false" ht="15" hidden="false" customHeight="false" outlineLevel="0" collapsed="false">
      <c r="A27" s="10" t="inlineStr">
        <is>
          <t>INC-V08</t>
        </is>
      </c>
      <c r="B27" s="10" t="inlineStr">
        <is>
          <t>YouTube Shorts</t>
        </is>
      </c>
      <c r="C27" s="10" t="inlineStr">
        <is>
          <t>Short video</t>
        </is>
      </c>
      <c r="D27" s="10" t="inlineStr">
        <is>
          <t>Pillar 4: Creator Benchmarks</t>
        </is>
      </c>
      <c r="E27" s="10" t="inlineStr">
        <is>
          <t>I tested 15 AI creator tools this year. 90% are pure hype. Here are the only 3 you actually need.</t>
        </is>
      </c>
      <c r="F27" s="10" t="inlineStr">
        <is>
          <t>The creator economy software bloat is real. 🛠️ You don't need 12 monthly subscriptions to run a world-class media engine. You need great audio, disciplined distribution, and an operating system that turns 1 recording into weekly assets. #AITools #CreatorStack #ProductivityTools #IncuBrix</t>
        </is>
      </c>
      <c r="G27" s="10" t="inlineStr">
        <is>
          <t>Get the Creator Tool Stack Guide at incubrix.com/stack</t>
        </is>
      </c>
      <c r="H27" s="10" t="inlineStr">
        <is>
          <t>https://incubrix.com/stack?utm_source=x&amp;utm_medium=video&amp;utm_campaign=INC-V08&amp;utm_content=tool_comparison</t>
        </is>
      </c>
      <c r="I27" s="10" t="inlineStr">
        <is>
          <t>content/videos/INC-V08_*.md</t>
        </is>
      </c>
      <c r="J27" s="10" t="inlineStr">
        <is>
          <t>content/videos/INC-V08_storyboard.json</t>
        </is>
      </c>
      <c r="K27" s="10" t="inlineStr">
        <is>
          <t>data/sample_podcast_input.txt</t>
        </is>
      </c>
      <c r="L27" s="10" t="inlineStr">
        <is>
          <t>IncuBrix Studio, Descript, Epidemic Sound</t>
        </is>
      </c>
      <c r="M27" s="10" t="inlineStr">
        <is>
          <t>Yes</t>
        </is>
      </c>
      <c r="N27" s="10" t="inlineStr">
        <is>
          <t>Yes</t>
        </is>
      </c>
      <c r="O27" s="10" t="inlineStr">
        <is>
          <t>2026-11-20</t>
        </is>
      </c>
      <c r="P27" s="10" t="inlineStr">
        <is>
          <t>https://youtube.com/shorts/demo</t>
        </is>
      </c>
      <c r="Q27" s="10">
        <v>2500</v>
      </c>
      <c r="R27" s="10" t="inlineStr">
        <is>
          <t>4.8%</t>
        </is>
      </c>
      <c r="S27" s="10">
        <v>45</v>
      </c>
      <c r="T27" s="10" t="inlineStr">
        <is>
          <t>Ready</t>
        </is>
      </c>
      <c r="U27" s="10" t="inlineStr">
        <is>
          <t>Audited &amp; Rights Safe</t>
        </is>
      </c>
      <c r="V27" s="11" t="str">
        <f aca="false">IF(A27="","",IF(COUNTIF($A$5:$A$154,A27)&gt;1,"DUPLICATE","UNIQUE"))</f>
        <v/>
      </c>
      <c r="W27" s="11" t="str">
        <f aca="false">IF(A27="","",IF(T27="Rejected","REJECTED",IF(AND(B27&lt;&gt;"",C27&lt;&gt;"",D27&lt;&gt;"",E27&lt;&gt;"",F27&lt;&gt;"",G27&lt;&gt;"",H27&lt;&gt;"",I27&lt;&gt;"",J27&lt;&gt;"",M27&lt;&gt;"",O27&lt;&gt;"",T27&lt;&gt;""),"COMPLETE","MISSING FIELDS")))</f>
        <v/>
      </c>
    </row>
    <row r="28" customFormat="false" ht="15" hidden="false" customHeight="false" outlineLevel="0" collapsed="false">
      <c r="A28" s="10" t="inlineStr">
        <is>
          <t>INC-P12</t>
        </is>
      </c>
      <c r="B28" s="10" t="inlineStr">
        <is>
          <t>X</t>
        </is>
      </c>
      <c r="C28" s="10" t="inlineStr">
        <is>
          <t>Text post</t>
        </is>
      </c>
      <c r="D28" s="10" t="inlineStr">
        <is>
          <t>Pillar 4: Creator Benchmarks</t>
        </is>
      </c>
      <c r="E28" s="10" t="inlineStr">
        <is>
          <t>Data study: 73% of viewers watch mobile video on mute. If your content relies purely on audio, 3 out of 4 people never hear your message.</t>
        </is>
      </c>
      <c r="F28" s="10" t="inlineStr">
        <is>
          <t>73% of mobile social video is consumed on mute. 🔇 Here are 3 design rules to ensure your short videos stop the scroll and communicate value without sound. #VideoMarketing #DataInsights #SocialMediaTips #IncuBrix</t>
        </is>
      </c>
      <c r="G28" s="10" t="inlineStr">
        <is>
          <t>See silent-optimized clips in action at incubrix.com</t>
        </is>
      </c>
      <c r="H28" s="10" t="inlineStr">
        <is>
          <t>https://incubrix.com?utm_source=x&amp;utm_medium=post&amp;utm_campaign=INC-P12&amp;utm_content=silent_video</t>
        </is>
      </c>
      <c r="I28" s="10" t="inlineStr">
        <is>
          <t>content/posts/INC-P12_*.md</t>
        </is>
      </c>
      <c r="J28" s="10" t="inlineStr">
        <is>
          <t>content/posts/INC-P12_source.txt</t>
        </is>
      </c>
      <c r="K28" s="10" t="inlineStr">
        <is>
          <t>data/sample_podcast_input.txt</t>
        </is>
      </c>
      <c r="L28" s="10" t="inlineStr">
        <is>
          <t>IncuBrix Generator, Python CLI</t>
        </is>
      </c>
      <c r="M28" s="10" t="inlineStr">
        <is>
          <t>Yes</t>
        </is>
      </c>
      <c r="N28" s="10" t="inlineStr">
        <is>
          <t>Yes</t>
        </is>
      </c>
      <c r="O28" s="10" t="inlineStr">
        <is>
          <t>2026-11-21</t>
        </is>
      </c>
      <c r="P28" s="10" t="inlineStr">
        <is>
          <t>https://x.com/IncuBrix/status/demo</t>
        </is>
      </c>
      <c r="Q28" s="10">
        <v>1800</v>
      </c>
      <c r="R28" s="10" t="inlineStr">
        <is>
          <t>4.2%</t>
        </is>
      </c>
      <c r="S28" s="10">
        <v>60</v>
      </c>
      <c r="T28" s="10" t="inlineStr">
        <is>
          <t>Ready</t>
        </is>
      </c>
      <c r="U28" s="10" t="inlineStr">
        <is>
          <t>Audited &amp; Rights Safe</t>
        </is>
      </c>
      <c r="V28" s="11" t="str">
        <f aca="false">IF(A28="","",IF(COUNTIF($A$5:$A$154,A28)&gt;1,"DUPLICATE","UNIQUE"))</f>
        <v/>
      </c>
      <c r="W28" s="11" t="str">
        <f aca="false">IF(A28="","",IF(T28="Rejected","REJECTED",IF(AND(B28&lt;&gt;"",C28&lt;&gt;"",D28&lt;&gt;"",E28&lt;&gt;"",F28&lt;&gt;"",G28&lt;&gt;"",H28&lt;&gt;"",I28&lt;&gt;"",J28&lt;&gt;"",M28&lt;&gt;"",O28&lt;&gt;"",T28&lt;&gt;""),"COMPLETE","MISSING FIELDS")))</f>
        <v/>
      </c>
    </row>
    <row r="29" customFormat="false" ht="15" hidden="false" customHeight="false" outlineLevel="0" collapsed="false">
      <c r="A29" s="10" t="inlineStr">
        <is>
          <t>INC-C05</t>
        </is>
      </c>
      <c r="B29" s="10" t="inlineStr">
        <is>
          <t>LinkedIn</t>
        </is>
      </c>
      <c r="C29" s="10" t="inlineStr">
        <is>
          <t>Carousel</t>
        </is>
      </c>
      <c r="D29" s="10" t="inlineStr">
        <is>
          <t>Pillar 4: Creator Benchmarks</t>
        </is>
      </c>
      <c r="E29" s="10" t="inlineStr">
        <is>
          <t>Steal these 5 psychological hook formulas to double your click-through rates and watch time:</t>
        </is>
      </c>
      <c r="F29" s="10" t="inlineStr">
        <is>
          <t>Your content is only as good as the first sentence. If the hook fails, the rest of your post never gets read. 🪝 We battle-tested 50+ hook variations across LinkedIn and short-form video. These 5 psychological frameworks outperformed all others by an average of 2.8x. Swipe through, save the templates, and use them on your next post! #HookFormulas #CopywritingTips #ContentMarketing #IncuBrix</t>
        </is>
      </c>
      <c r="G29" s="10" t="inlineStr">
        <is>
          <t>Get the 50 Hook Swipe File at incubrix.com/hooks</t>
        </is>
      </c>
      <c r="H29" s="10" t="inlineStr">
        <is>
          <t>https://incubrix.com/hooks?utm_source=linkedin&amp;utm_medium=carousel&amp;utm_campaign=INC-C05&amp;utm_content=5_hook_frameworks</t>
        </is>
      </c>
      <c r="I29" s="10" t="inlineStr">
        <is>
          <t>content/carousels/INC-C05/README.md</t>
        </is>
      </c>
      <c r="J29" s="10" t="inlineStr">
        <is>
          <t>content/carousels/INC-C05/slide_1.svg</t>
        </is>
      </c>
      <c r="K29" s="10" t="inlineStr">
        <is>
          <t>data/sample_podcast_input.txt</t>
        </is>
      </c>
      <c r="L29" s="10" t="inlineStr">
        <is>
          <t>IncuBrix Platform, Figma, Inter Font</t>
        </is>
      </c>
      <c r="M29" s="10" t="inlineStr">
        <is>
          <t>Yes</t>
        </is>
      </c>
      <c r="N29" s="10" t="inlineStr">
        <is>
          <t>Yes</t>
        </is>
      </c>
      <c r="O29" s="10" t="inlineStr">
        <is>
          <t>2026-11-22</t>
        </is>
      </c>
      <c r="P29" s="10" t="inlineStr">
        <is>
          <t>https://linkedin.com/posts/demo</t>
        </is>
      </c>
      <c r="Q29" s="10">
        <v>3800</v>
      </c>
      <c r="R29" s="10" t="inlineStr">
        <is>
          <t>5.2%</t>
        </is>
      </c>
      <c r="S29" s="10">
        <v>80</v>
      </c>
      <c r="T29" s="10" t="inlineStr">
        <is>
          <t>Ready</t>
        </is>
      </c>
      <c r="U29" s="10" t="inlineStr">
        <is>
          <t>Audited &amp; Rights Safe</t>
        </is>
      </c>
      <c r="V29" s="11" t="str">
        <f aca="false">IF(A29="","",IF(COUNTIF($A$5:$A$154,A29)&gt;1,"DUPLICATE","UNIQUE"))</f>
        <v/>
      </c>
      <c r="W29" s="11" t="str">
        <f aca="false">IF(A29="","",IF(T29="Rejected","REJECTED",IF(AND(B29&lt;&gt;"",C29&lt;&gt;"",D29&lt;&gt;"",E29&lt;&gt;"",F29&lt;&gt;"",G29&lt;&gt;"",H29&lt;&gt;"",I29&lt;&gt;"",J29&lt;&gt;"",M29&lt;&gt;"",O29&lt;&gt;"",T29&lt;&gt;""),"COMPLETE","MISSING FIELDS")))</f>
        <v/>
      </c>
    </row>
    <row r="30" customFormat="false" ht="15" hidden="false" customHeight="false" outlineLevel="0" collapsed="false">
      <c r="A30" s="10" t="inlineStr">
        <is>
          <t>INC-V09</t>
        </is>
      </c>
      <c r="B30" s="10" t="inlineStr">
        <is>
          <t>YouTube Shorts</t>
        </is>
      </c>
      <c r="C30" s="10" t="inlineStr">
        <is>
          <t>Short video</t>
        </is>
      </c>
      <c r="D30" s="10" t="inlineStr">
        <is>
          <t>Pillar 2: Feature-in-Action</t>
        </is>
      </c>
      <c r="E30" s="10" t="inlineStr">
        <is>
          <t>Watch this stopwatch. In 28 seconds, this raw video becomes a high-converting LinkedIn post.</t>
        </is>
      </c>
      <c r="F30" s="10" t="inlineStr">
        <is>
          <t>How long does it take you to turn a video insight into a written LinkedIn post? ⏱️ If it's more than 2 minutes, you're leaving growth on the table. Watch IncuBrix transcribe, summarize, format, and pair the video asset in 28 seconds flat. #LinkedInGrowth #ContentOps #WorkflowSpeed #IncuBrix</t>
        </is>
      </c>
      <c r="G30" s="10" t="inlineStr">
        <is>
          <t>Try the 30-second challenge at incubrix.com/speed</t>
        </is>
      </c>
      <c r="H30" s="10" t="inlineStr">
        <is>
          <t>https://incubrix.com/speed?utm_source=linkedin&amp;utm_medium=video&amp;utm_campaign=INC-V09&amp;utm_content=speed_challenge</t>
        </is>
      </c>
      <c r="I30" s="10" t="inlineStr">
        <is>
          <t>content/videos/INC-V09_*.md</t>
        </is>
      </c>
      <c r="J30" s="10" t="inlineStr">
        <is>
          <t>content/videos/INC-V09_storyboard.json</t>
        </is>
      </c>
      <c r="K30" s="10" t="inlineStr">
        <is>
          <t>data/sample_podcast_input.txt</t>
        </is>
      </c>
      <c r="L30" s="10" t="inlineStr">
        <is>
          <t>IncuBrix Studio, Descript, Epidemic Sound</t>
        </is>
      </c>
      <c r="M30" s="10" t="inlineStr">
        <is>
          <t>Yes</t>
        </is>
      </c>
      <c r="N30" s="10" t="inlineStr">
        <is>
          <t>Yes</t>
        </is>
      </c>
      <c r="O30" s="10" t="inlineStr">
        <is>
          <t>2026-11-23</t>
        </is>
      </c>
      <c r="P30" s="10" t="inlineStr">
        <is>
          <t>https://youtube.com/shorts/demo</t>
        </is>
      </c>
      <c r="Q30" s="10">
        <v>2500</v>
      </c>
      <c r="R30" s="10" t="inlineStr">
        <is>
          <t>4.8%</t>
        </is>
      </c>
      <c r="S30" s="10">
        <v>45</v>
      </c>
      <c r="T30" s="10" t="inlineStr">
        <is>
          <t>Ready</t>
        </is>
      </c>
      <c r="U30" s="10" t="inlineStr">
        <is>
          <t>Audited &amp; Rights Safe</t>
        </is>
      </c>
      <c r="V30" s="11" t="str">
        <f aca="false">IF(A30="","",IF(COUNTIF($A$5:$A$154,A30)&gt;1,"DUPLICATE","UNIQUE"))</f>
        <v/>
      </c>
      <c r="W30" s="11" t="str">
        <f aca="false">IF(A30="","",IF(T30="Rejected","REJECTED",IF(AND(B30&lt;&gt;"",C30&lt;&gt;"",D30&lt;&gt;"",E30&lt;&gt;"",F30&lt;&gt;"",G30&lt;&gt;"",H30&lt;&gt;"",I30&lt;&gt;"",J30&lt;&gt;"",M30&lt;&gt;"",O30&lt;&gt;"",T30&lt;&gt;""),"COMPLETE","MISSING FIELDS")))</f>
        <v/>
      </c>
    </row>
    <row r="31" customFormat="false" ht="15" hidden="false" customHeight="false" outlineLevel="0" collapsed="false">
      <c r="A31" s="10" t="inlineStr">
        <is>
          <t>INC-P13</t>
        </is>
      </c>
      <c r="B31" s="10" t="inlineStr">
        <is>
          <t>LinkedIn</t>
        </is>
      </c>
      <c r="C31" s="10" t="inlineStr">
        <is>
          <t>Text post</t>
        </is>
      </c>
      <c r="D31" s="10" t="inlineStr">
        <is>
          <t>Pillar 5: Trench Stories</t>
        </is>
      </c>
      <c r="E31" s="10" t="inlineStr">
        <is>
          <t>Your customer onboarding calls are the highest-converting marketing content you're not using:</t>
        </is>
      </c>
      <c r="F31" s="10" t="inlineStr">
        <is>
          <t>How to turn customer onboarding recordings into authentic, high-converting social proof (with complete privacy and consent). #CustomerSuccess #B2BMarketing #SocialProof #IncuBrix</t>
        </is>
      </c>
      <c r="G31" s="10" t="inlineStr">
        <is>
          <t>Turn recordings into assets at incubrix.com</t>
        </is>
      </c>
      <c r="H31" s="10" t="inlineStr">
        <is>
          <t>https://incubrix.com?utm_source=linkedin&amp;utm_medium=post&amp;utm_campaign=INC-P13&amp;utm_content=customer_wins</t>
        </is>
      </c>
      <c r="I31" s="10" t="inlineStr">
        <is>
          <t>content/posts/INC-P13_*.md</t>
        </is>
      </c>
      <c r="J31" s="10" t="inlineStr">
        <is>
          <t>content/posts/INC-P13_source.txt</t>
        </is>
      </c>
      <c r="K31" s="10" t="inlineStr">
        <is>
          <t>data/sample_podcast_input.txt</t>
        </is>
      </c>
      <c r="L31" s="10" t="inlineStr">
        <is>
          <t>IncuBrix Generator, Python CLI</t>
        </is>
      </c>
      <c r="M31" s="10" t="inlineStr">
        <is>
          <t>Yes</t>
        </is>
      </c>
      <c r="N31" s="10" t="inlineStr">
        <is>
          <t>Yes</t>
        </is>
      </c>
      <c r="O31" s="10" t="inlineStr">
        <is>
          <t>2026-11-24</t>
        </is>
      </c>
      <c r="P31" s="10" t="inlineStr">
        <is>
          <t>https://x.com/IncuBrix/status/demo</t>
        </is>
      </c>
      <c r="Q31" s="10">
        <v>1800</v>
      </c>
      <c r="R31" s="10" t="inlineStr">
        <is>
          <t>4.2%</t>
        </is>
      </c>
      <c r="S31" s="10">
        <v>60</v>
      </c>
      <c r="T31" s="10" t="inlineStr">
        <is>
          <t>Ready</t>
        </is>
      </c>
      <c r="U31" s="10" t="inlineStr">
        <is>
          <t>Audited &amp; Rights Safe</t>
        </is>
      </c>
      <c r="V31" s="11" t="str">
        <f aca="false">IF(A31="","",IF(COUNTIF($A$5:$A$154,A31)&gt;1,"DUPLICATE","UNIQUE"))</f>
        <v/>
      </c>
      <c r="W31" s="11" t="str">
        <f aca="false">IF(A31="","",IF(T31="Rejected","REJECTED",IF(AND(B31&lt;&gt;"",C31&lt;&gt;"",D31&lt;&gt;"",E31&lt;&gt;"",F31&lt;&gt;"",G31&lt;&gt;"",H31&lt;&gt;"",I31&lt;&gt;"",J31&lt;&gt;"",M31&lt;&gt;"",O31&lt;&gt;"",T31&lt;&gt;""),"COMPLETE","MISSING FIELDS")))</f>
        <v/>
      </c>
    </row>
    <row r="32" customFormat="false" ht="15" hidden="false" customHeight="false" outlineLevel="0" collapsed="false">
      <c r="A32" s="10" t="inlineStr">
        <is>
          <t>INC-V10</t>
        </is>
      </c>
      <c r="B32" s="10" t="inlineStr">
        <is>
          <t>YouTube Shorts</t>
        </is>
      </c>
      <c r="C32" s="10" t="inlineStr">
        <is>
          <t>Short video</t>
        </is>
      </c>
      <c r="D32" s="10" t="inlineStr">
        <is>
          <t>Pillar 3: CreatorOps Systems</t>
        </is>
      </c>
      <c r="E32" s="10" t="inlineStr">
        <is>
          <t>The top 1% of creators do not work 80 hours a week. They run an asynchronous content assembly line.</t>
        </is>
      </c>
      <c r="F32" s="10" t="inlineStr">
        <is>
          <t>Stop treating content like a craft project and start treating it like an operating system. ⚙️ The CreatorOps framework separates high-leverage ideation from low-leverage formatting. When your pipeline is automated, your consistency becomes unstoppable. #CreatorOps #MediaOperations #SystemsThinking #IncuBrix</t>
        </is>
      </c>
      <c r="G32" s="10" t="inlineStr">
        <is>
          <t>Download the Notion CreatorOps Template at incubrix.com/notion</t>
        </is>
      </c>
      <c r="H32" s="10" t="inlineStr">
        <is>
          <t>https://incubrix.com/notion?utm_source=shorts&amp;utm_medium=video&amp;utm_campaign=INC-V10&amp;utm_content=assembly_line</t>
        </is>
      </c>
      <c r="I32" s="10" t="inlineStr">
        <is>
          <t>content/videos/INC-V10_*.md</t>
        </is>
      </c>
      <c r="J32" s="10" t="inlineStr">
        <is>
          <t>content/videos/INC-V10_storyboard.json</t>
        </is>
      </c>
      <c r="K32" s="10" t="inlineStr">
        <is>
          <t>data/sample_podcast_input.txt</t>
        </is>
      </c>
      <c r="L32" s="10" t="inlineStr">
        <is>
          <t>IncuBrix Studio, Descript, Epidemic Sound</t>
        </is>
      </c>
      <c r="M32" s="10" t="inlineStr">
        <is>
          <t>Yes</t>
        </is>
      </c>
      <c r="N32" s="10" t="inlineStr">
        <is>
          <t>Yes</t>
        </is>
      </c>
      <c r="O32" s="10" t="inlineStr">
        <is>
          <t>2026-11-26</t>
        </is>
      </c>
      <c r="P32" s="10" t="inlineStr">
        <is>
          <t>https://youtube.com/shorts/demo</t>
        </is>
      </c>
      <c r="Q32" s="10">
        <v>2500</v>
      </c>
      <c r="R32" s="10" t="inlineStr">
        <is>
          <t>4.8%</t>
        </is>
      </c>
      <c r="S32" s="10">
        <v>45</v>
      </c>
      <c r="T32" s="10" t="inlineStr">
        <is>
          <t>Ready</t>
        </is>
      </c>
      <c r="U32" s="10" t="inlineStr">
        <is>
          <t>Audited &amp; Rights Safe</t>
        </is>
      </c>
      <c r="V32" s="11" t="str">
        <f aca="false">IF(A32="","",IF(COUNTIF($A$5:$A$154,A32)&gt;1,"DUPLICATE","UNIQUE"))</f>
        <v/>
      </c>
      <c r="W32" s="11" t="str">
        <f aca="false">IF(A32="","",IF(T32="Rejected","REJECTED",IF(AND(B32&lt;&gt;"",C32&lt;&gt;"",D32&lt;&gt;"",E32&lt;&gt;"",F32&lt;&gt;"",G32&lt;&gt;"",H32&lt;&gt;"",I32&lt;&gt;"",J32&lt;&gt;"",M32&lt;&gt;"",O32&lt;&gt;"",T32&lt;&gt;""),"COMPLETE","MISSING FIELDS")))</f>
        <v/>
      </c>
    </row>
    <row r="33" customFormat="false" ht="15" hidden="false" customHeight="false" outlineLevel="0" collapsed="false">
      <c r="A33" s="10" t="inlineStr">
        <is>
          <t>INC-P14</t>
        </is>
      </c>
      <c r="B33" s="10" t="inlineStr">
        <is>
          <t>X</t>
        </is>
      </c>
      <c r="C33" s="10" t="inlineStr">
        <is>
          <t>Text post</t>
        </is>
      </c>
      <c r="D33" s="10" t="inlineStr">
        <is>
          <t>Pillar 1: Workflow Teardowns</t>
        </is>
      </c>
      <c r="E33" s="10" t="inlineStr">
        <is>
          <t>Never hit 'Publish' on a short-form video until it passes these 6 quality checks:</t>
        </is>
      </c>
      <c r="F33" s="10" t="inlineStr">
        <is>
          <t>The 6-point pre-publishing checklist for short-form video. Stop leaving your video views to chance. Run this audit on every clip. #VideoAudit #CreatorOps #Checklist #IncuBrix</t>
        </is>
      </c>
      <c r="G33" s="10" t="inlineStr">
        <is>
          <t>Automate your pre-publish checks at incubrix.com</t>
        </is>
      </c>
      <c r="H33" s="10" t="inlineStr">
        <is>
          <t>https://incubrix.com?utm_source=x&amp;utm_medium=post&amp;utm_campaign=INC-P14&amp;utm_content=prepublish_checklist</t>
        </is>
      </c>
      <c r="I33" s="10" t="inlineStr">
        <is>
          <t>content/posts/INC-P14_*.md</t>
        </is>
      </c>
      <c r="J33" s="10" t="inlineStr">
        <is>
          <t>content/posts/INC-P14_source.txt</t>
        </is>
      </c>
      <c r="K33" s="10" t="inlineStr">
        <is>
          <t>data/sample_podcast_input.txt</t>
        </is>
      </c>
      <c r="L33" s="10" t="inlineStr">
        <is>
          <t>IncuBrix Generator, Python CLI</t>
        </is>
      </c>
      <c r="M33" s="10" t="inlineStr">
        <is>
          <t>Yes</t>
        </is>
      </c>
      <c r="N33" s="10" t="inlineStr">
        <is>
          <t>Yes</t>
        </is>
      </c>
      <c r="O33" s="10" t="inlineStr">
        <is>
          <t>2026-11-27</t>
        </is>
      </c>
      <c r="P33" s="10" t="inlineStr">
        <is>
          <t>https://x.com/IncuBrix/status/demo</t>
        </is>
      </c>
      <c r="Q33" s="10">
        <v>1800</v>
      </c>
      <c r="R33" s="10" t="inlineStr">
        <is>
          <t>4.2%</t>
        </is>
      </c>
      <c r="S33" s="10">
        <v>60</v>
      </c>
      <c r="T33" s="10" t="inlineStr">
        <is>
          <t>Ready</t>
        </is>
      </c>
      <c r="U33" s="10" t="inlineStr">
        <is>
          <t>Audited &amp; Rights Safe</t>
        </is>
      </c>
      <c r="V33" s="11" t="str">
        <f aca="false">IF(A33="","",IF(COUNTIF($A$5:$A$154,A33)&gt;1,"DUPLICATE","UNIQUE"))</f>
        <v/>
      </c>
      <c r="W33" s="11" t="str">
        <f aca="false">IF(A33="","",IF(T33="Rejected","REJECTED",IF(AND(B33&lt;&gt;"",C33&lt;&gt;"",D33&lt;&gt;"",E33&lt;&gt;"",F33&lt;&gt;"",G33&lt;&gt;"",H33&lt;&gt;"",I33&lt;&gt;"",J33&lt;&gt;"",M33&lt;&gt;"",O33&lt;&gt;"",T33&lt;&gt;""),"COMPLETE","MISSING FIELDS")))</f>
        <v/>
      </c>
    </row>
    <row r="34" customFormat="false" ht="15" hidden="false" customHeight="false" outlineLevel="0" collapsed="false">
      <c r="A34" s="10" t="inlineStr">
        <is>
          <t>INC-P15</t>
        </is>
      </c>
      <c r="B34" s="10" t="inlineStr">
        <is>
          <t>LinkedIn</t>
        </is>
      </c>
      <c r="C34" s="10" t="inlineStr">
        <is>
          <t>Text post</t>
        </is>
      </c>
      <c r="D34" s="10" t="inlineStr">
        <is>
          <t>Pillar 3: CreatorOps Systems</t>
        </is>
      </c>
      <c r="E34" s="10" t="inlineStr">
        <is>
          <t>What happens when you treat content marketing like an engineering optimization problem:</t>
        </is>
      </c>
      <c r="F34" s="10" t="inlineStr">
        <is>
          <t>Why content marketing needs an engineering mindset. Applying component libraries, compilation, and automated deployment pipelines to creator growth. #EngineeringLeadership #GrowthEngineering #CreatorOps #IncuBrix</t>
        </is>
      </c>
      <c r="G34" s="10" t="inlineStr">
        <is>
          <t>Build your marketing CI/CD at incubrix.com/engine</t>
        </is>
      </c>
      <c r="H34" s="10" t="inlineStr">
        <is>
          <t>https://incubrix.com/engine?utm_source=linkedin&amp;utm_medium=post&amp;utm_campaign=INC-P15&amp;utm_content=engineering_roi</t>
        </is>
      </c>
      <c r="I34" s="10" t="inlineStr">
        <is>
          <t>content/posts/INC-P15_*.md</t>
        </is>
      </c>
      <c r="J34" s="10" t="inlineStr">
        <is>
          <t>content/posts/INC-P15_source.txt</t>
        </is>
      </c>
      <c r="K34" s="10" t="inlineStr">
        <is>
          <t>data/sample_podcast_input.txt</t>
        </is>
      </c>
      <c r="L34" s="10" t="inlineStr">
        <is>
          <t>IncuBrix Generator, Python CLI</t>
        </is>
      </c>
      <c r="M34" s="10" t="inlineStr">
        <is>
          <t>Yes</t>
        </is>
      </c>
      <c r="N34" s="10" t="inlineStr">
        <is>
          <t>Yes</t>
        </is>
      </c>
      <c r="O34" s="10" t="inlineStr">
        <is>
          <t>2026-11-29</t>
        </is>
      </c>
      <c r="P34" s="10" t="inlineStr">
        <is>
          <t>https://x.com/IncuBrix/status/demo</t>
        </is>
      </c>
      <c r="Q34" s="10">
        <v>1800</v>
      </c>
      <c r="R34" s="10" t="inlineStr">
        <is>
          <t>4.2%</t>
        </is>
      </c>
      <c r="S34" s="10">
        <v>60</v>
      </c>
      <c r="T34" s="10" t="inlineStr">
        <is>
          <t>Ready</t>
        </is>
      </c>
      <c r="U34" s="10" t="inlineStr">
        <is>
          <t>Audited &amp; Rights Safe</t>
        </is>
      </c>
      <c r="V34" s="11" t="str">
        <f aca="false">IF(A34="","",IF(COUNTIF($A$5:$A$154,A34)&gt;1,"DUPLICATE","UNIQUE"))</f>
        <v/>
      </c>
      <c r="W34" s="11" t="str">
        <f aca="false">IF(A34="","",IF(T34="Rejected","REJECTED",IF(AND(B34&lt;&gt;"",C34&lt;&gt;"",D34&lt;&gt;"",E34&lt;&gt;"",F34&lt;&gt;"",G34&lt;&gt;"",H34&lt;&gt;"",I34&lt;&gt;"",J34&lt;&gt;"",M34&lt;&gt;"",O34&lt;&gt;"",T34&lt;&gt;""),"COMPLETE","MISSING FIELDS")))</f>
        <v/>
      </c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 t="str">
        <f aca="false">IF(A35="","",IF(COUNTIF($A$5:$A$154,A35)&gt;1,"DUPLICATE","UNIQUE"))</f>
        <v/>
      </c>
      <c r="W35" s="11" t="str">
        <f aca="false">IF(A35="","",IF(T35="Rejected","REJECTED",IF(AND(B35&lt;&gt;"",C35&lt;&gt;"",D35&lt;&gt;"",E35&lt;&gt;"",F35&lt;&gt;"",G35&lt;&gt;"",H35&lt;&gt;"",I35&lt;&gt;"",J35&lt;&gt;"",M35&lt;&gt;"",O35&lt;&gt;"",T35&lt;&gt;""),"COMPLETE","MISSING FIELDS")))</f>
        <v/>
      </c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 t="str">
        <f aca="false">IF(A36="","",IF(COUNTIF($A$5:$A$154,A36)&gt;1,"DUPLICATE","UNIQUE"))</f>
        <v/>
      </c>
      <c r="W36" s="11" t="str">
        <f aca="false">IF(A36="","",IF(T36="Rejected","REJECTED",IF(AND(B36&lt;&gt;"",C36&lt;&gt;"",D36&lt;&gt;"",E36&lt;&gt;"",F36&lt;&gt;"",G36&lt;&gt;"",H36&lt;&gt;"",I36&lt;&gt;"",J36&lt;&gt;"",M36&lt;&gt;"",O36&lt;&gt;"",T36&lt;&gt;""),"COMPLETE","MISSING FIELDS")))</f>
        <v/>
      </c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 t="str">
        <f aca="false">IF(A37="","",IF(COUNTIF($A$5:$A$154,A37)&gt;1,"DUPLICATE","UNIQUE"))</f>
        <v/>
      </c>
      <c r="W37" s="11" t="str">
        <f aca="false">IF(A37="","",IF(T37="Rejected","REJECTED",IF(AND(B37&lt;&gt;"",C37&lt;&gt;"",D37&lt;&gt;"",E37&lt;&gt;"",F37&lt;&gt;"",G37&lt;&gt;"",H37&lt;&gt;"",I37&lt;&gt;"",J37&lt;&gt;"",M37&lt;&gt;"",O37&lt;&gt;"",T37&lt;&gt;""),"COMPLETE","MISSING FIELDS")))</f>
        <v/>
      </c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 t="str">
        <f aca="false">IF(A38="","",IF(COUNTIF($A$5:$A$154,A38)&gt;1,"DUPLICATE","UNIQUE"))</f>
        <v/>
      </c>
      <c r="W38" s="11" t="str">
        <f aca="false">IF(A38="","",IF(T38="Rejected","REJECTED",IF(AND(B38&lt;&gt;"",C38&lt;&gt;"",D38&lt;&gt;"",E38&lt;&gt;"",F38&lt;&gt;"",G38&lt;&gt;"",H38&lt;&gt;"",I38&lt;&gt;"",J38&lt;&gt;"",M38&lt;&gt;"",O38&lt;&gt;"",T38&lt;&gt;""),"COMPLETE","MISSING FIELDS")))</f>
        <v/>
      </c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 t="str">
        <f aca="false">IF(A39="","",IF(COUNTIF($A$5:$A$154,A39)&gt;1,"DUPLICATE","UNIQUE"))</f>
        <v/>
      </c>
      <c r="W39" s="11" t="str">
        <f aca="false">IF(A39="","",IF(T39="Rejected","REJECTED",IF(AND(B39&lt;&gt;"",C39&lt;&gt;"",D39&lt;&gt;"",E39&lt;&gt;"",F39&lt;&gt;"",G39&lt;&gt;"",H39&lt;&gt;"",I39&lt;&gt;"",J39&lt;&gt;"",M39&lt;&gt;"",O39&lt;&gt;"",T39&lt;&gt;""),"COMPLETE","MISSING FIELDS")))</f>
        <v/>
      </c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 t="str">
        <f aca="false">IF(A40="","",IF(COUNTIF($A$5:$A$154,A40)&gt;1,"DUPLICATE","UNIQUE"))</f>
        <v/>
      </c>
      <c r="W40" s="11" t="str">
        <f aca="false">IF(A40="","",IF(T40="Rejected","REJECTED",IF(AND(B40&lt;&gt;"",C40&lt;&gt;"",D40&lt;&gt;"",E40&lt;&gt;"",F40&lt;&gt;"",G40&lt;&gt;"",H40&lt;&gt;"",I40&lt;&gt;"",J40&lt;&gt;"",M40&lt;&gt;"",O40&lt;&gt;"",T40&lt;&gt;""),"COMPLETE","MISSING FIELDS")))</f>
        <v/>
      </c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 t="str">
        <f aca="false">IF(A41="","",IF(COUNTIF($A$5:$A$154,A41)&gt;1,"DUPLICATE","UNIQUE"))</f>
        <v/>
      </c>
      <c r="W41" s="11" t="str">
        <f aca="false">IF(A41="","",IF(T41="Rejected","REJECTED",IF(AND(B41&lt;&gt;"",C41&lt;&gt;"",D41&lt;&gt;"",E41&lt;&gt;"",F41&lt;&gt;"",G41&lt;&gt;"",H41&lt;&gt;"",I41&lt;&gt;"",J41&lt;&gt;"",M41&lt;&gt;"",O41&lt;&gt;"",T41&lt;&gt;""),"COMPLETE","MISSING FIELDS")))</f>
        <v/>
      </c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 t="str">
        <f aca="false">IF(A42="","",IF(COUNTIF($A$5:$A$154,A42)&gt;1,"DUPLICATE","UNIQUE"))</f>
        <v/>
      </c>
      <c r="W42" s="11" t="str">
        <f aca="false">IF(A42="","",IF(T42="Rejected","REJECTED",IF(AND(B42&lt;&gt;"",C42&lt;&gt;"",D42&lt;&gt;"",E42&lt;&gt;"",F42&lt;&gt;"",G42&lt;&gt;"",H42&lt;&gt;"",I42&lt;&gt;"",J42&lt;&gt;"",M42&lt;&gt;"",O42&lt;&gt;"",T42&lt;&gt;""),"COMPLETE","MISSING FIELDS")))</f>
        <v/>
      </c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 t="str">
        <f aca="false">IF(A43="","",IF(COUNTIF($A$5:$A$154,A43)&gt;1,"DUPLICATE","UNIQUE"))</f>
        <v/>
      </c>
      <c r="W43" s="11" t="str">
        <f aca="false">IF(A43="","",IF(T43="Rejected","REJECTED",IF(AND(B43&lt;&gt;"",C43&lt;&gt;"",D43&lt;&gt;"",E43&lt;&gt;"",F43&lt;&gt;"",G43&lt;&gt;"",H43&lt;&gt;"",I43&lt;&gt;"",J43&lt;&gt;"",M43&lt;&gt;"",O43&lt;&gt;"",T43&lt;&gt;""),"COMPLETE","MISSING FIELDS")))</f>
        <v/>
      </c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 t="str">
        <f aca="false">IF(A44="","",IF(COUNTIF($A$5:$A$154,A44)&gt;1,"DUPLICATE","UNIQUE"))</f>
        <v/>
      </c>
      <c r="W44" s="11" t="str">
        <f aca="false">IF(A44="","",IF(T44="Rejected","REJECTED",IF(AND(B44&lt;&gt;"",C44&lt;&gt;"",D44&lt;&gt;"",E44&lt;&gt;"",F44&lt;&gt;"",G44&lt;&gt;"",H44&lt;&gt;"",I44&lt;&gt;"",J44&lt;&gt;"",M44&lt;&gt;"",O44&lt;&gt;"",T44&lt;&gt;""),"COMPLETE","MISSING FIELDS")))</f>
        <v/>
      </c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 t="str">
        <f aca="false">IF(A45="","",IF(COUNTIF($A$5:$A$154,A45)&gt;1,"DUPLICATE","UNIQUE"))</f>
        <v/>
      </c>
      <c r="W45" s="11" t="str">
        <f aca="false">IF(A45="","",IF(T45="Rejected","REJECTED",IF(AND(B45&lt;&gt;"",C45&lt;&gt;"",D45&lt;&gt;"",E45&lt;&gt;"",F45&lt;&gt;"",G45&lt;&gt;"",H45&lt;&gt;"",I45&lt;&gt;"",J45&lt;&gt;"",M45&lt;&gt;"",O45&lt;&gt;"",T45&lt;&gt;""),"COMPLETE","MISSING FIELDS")))</f>
        <v/>
      </c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 t="str">
        <f aca="false">IF(A46="","",IF(COUNTIF($A$5:$A$154,A46)&gt;1,"DUPLICATE","UNIQUE"))</f>
        <v/>
      </c>
      <c r="W46" s="11" t="str">
        <f aca="false">IF(A46="","",IF(T46="Rejected","REJECTED",IF(AND(B46&lt;&gt;"",C46&lt;&gt;"",D46&lt;&gt;"",E46&lt;&gt;"",F46&lt;&gt;"",G46&lt;&gt;"",H46&lt;&gt;"",I46&lt;&gt;"",J46&lt;&gt;"",M46&lt;&gt;"",O46&lt;&gt;"",T46&lt;&gt;""),"COMPLETE","MISSING FIELDS")))</f>
        <v/>
      </c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 t="str">
        <f aca="false">IF(A47="","",IF(COUNTIF($A$5:$A$154,A47)&gt;1,"DUPLICATE","UNIQUE"))</f>
        <v/>
      </c>
      <c r="W47" s="11" t="str">
        <f aca="false">IF(A47="","",IF(T47="Rejected","REJECTED",IF(AND(B47&lt;&gt;"",C47&lt;&gt;"",D47&lt;&gt;"",E47&lt;&gt;"",F47&lt;&gt;"",G47&lt;&gt;"",H47&lt;&gt;"",I47&lt;&gt;"",J47&lt;&gt;"",M47&lt;&gt;"",O47&lt;&gt;"",T47&lt;&gt;""),"COMPLETE","MISSING FIELDS")))</f>
        <v/>
      </c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 t="str">
        <f aca="false">IF(A48="","",IF(COUNTIF($A$5:$A$154,A48)&gt;1,"DUPLICATE","UNIQUE"))</f>
        <v/>
      </c>
      <c r="W48" s="11" t="str">
        <f aca="false">IF(A48="","",IF(T48="Rejected","REJECTED",IF(AND(B48&lt;&gt;"",C48&lt;&gt;"",D48&lt;&gt;"",E48&lt;&gt;"",F48&lt;&gt;"",G48&lt;&gt;"",H48&lt;&gt;"",I48&lt;&gt;"",J48&lt;&gt;"",M48&lt;&gt;"",O48&lt;&gt;"",T48&lt;&gt;""),"COMPLETE","MISSING FIELDS")))</f>
        <v/>
      </c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 t="str">
        <f aca="false">IF(A49="","",IF(COUNTIF($A$5:$A$154,A49)&gt;1,"DUPLICATE","UNIQUE"))</f>
        <v/>
      </c>
      <c r="W49" s="11" t="str">
        <f aca="false">IF(A49="","",IF(T49="Rejected","REJECTED",IF(AND(B49&lt;&gt;"",C49&lt;&gt;"",D49&lt;&gt;"",E49&lt;&gt;"",F49&lt;&gt;"",G49&lt;&gt;"",H49&lt;&gt;"",I49&lt;&gt;"",J49&lt;&gt;"",M49&lt;&gt;"",O49&lt;&gt;"",T49&lt;&gt;""),"COMPLETE","MISSING FIELDS")))</f>
        <v/>
      </c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 t="str">
        <f aca="false">IF(A50="","",IF(COUNTIF($A$5:$A$154,A50)&gt;1,"DUPLICATE","UNIQUE"))</f>
        <v/>
      </c>
      <c r="W50" s="11" t="str">
        <f aca="false">IF(A50="","",IF(T50="Rejected","REJECTED",IF(AND(B50&lt;&gt;"",C50&lt;&gt;"",D50&lt;&gt;"",E50&lt;&gt;"",F50&lt;&gt;"",G50&lt;&gt;"",H50&lt;&gt;"",I50&lt;&gt;"",J50&lt;&gt;"",M50&lt;&gt;"",O50&lt;&gt;"",T50&lt;&gt;""),"COMPLETE","MISSING FIELDS")))</f>
        <v/>
      </c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 t="str">
        <f aca="false">IF(A51="","",IF(COUNTIF($A$5:$A$154,A51)&gt;1,"DUPLICATE","UNIQUE"))</f>
        <v/>
      </c>
      <c r="W51" s="11" t="str">
        <f aca="false">IF(A51="","",IF(T51="Rejected","REJECTED",IF(AND(B51&lt;&gt;"",C51&lt;&gt;"",D51&lt;&gt;"",E51&lt;&gt;"",F51&lt;&gt;"",G51&lt;&gt;"",H51&lt;&gt;"",I51&lt;&gt;"",J51&lt;&gt;"",M51&lt;&gt;"",O51&lt;&gt;"",T51&lt;&gt;""),"COMPLETE","MISSING FIELDS")))</f>
        <v/>
      </c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 t="str">
        <f aca="false">IF(A52="","",IF(COUNTIF($A$5:$A$154,A52)&gt;1,"DUPLICATE","UNIQUE"))</f>
        <v/>
      </c>
      <c r="W52" s="11" t="str">
        <f aca="false">IF(A52="","",IF(T52="Rejected","REJECTED",IF(AND(B52&lt;&gt;"",C52&lt;&gt;"",D52&lt;&gt;"",E52&lt;&gt;"",F52&lt;&gt;"",G52&lt;&gt;"",H52&lt;&gt;"",I52&lt;&gt;"",J52&lt;&gt;"",M52&lt;&gt;"",O52&lt;&gt;"",T52&lt;&gt;""),"COMPLETE","MISSING FIELDS")))</f>
        <v/>
      </c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 t="str">
        <f aca="false">IF(A53="","",IF(COUNTIF($A$5:$A$154,A53)&gt;1,"DUPLICATE","UNIQUE"))</f>
        <v/>
      </c>
      <c r="W53" s="11" t="str">
        <f aca="false">IF(A53="","",IF(T53="Rejected","REJECTED",IF(AND(B53&lt;&gt;"",C53&lt;&gt;"",D53&lt;&gt;"",E53&lt;&gt;"",F53&lt;&gt;"",G53&lt;&gt;"",H53&lt;&gt;"",I53&lt;&gt;"",J53&lt;&gt;"",M53&lt;&gt;"",O53&lt;&gt;"",T53&lt;&gt;""),"COMPLETE","MISSING FIELDS")))</f>
        <v/>
      </c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 t="str">
        <f aca="false">IF(A54="","",IF(COUNTIF($A$5:$A$154,A54)&gt;1,"DUPLICATE","UNIQUE"))</f>
        <v/>
      </c>
      <c r="W54" s="11" t="str">
        <f aca="false">IF(A54="","",IF(T54="Rejected","REJECTED",IF(AND(B54&lt;&gt;"",C54&lt;&gt;"",D54&lt;&gt;"",E54&lt;&gt;"",F54&lt;&gt;"",G54&lt;&gt;"",H54&lt;&gt;"",I54&lt;&gt;"",J54&lt;&gt;"",M54&lt;&gt;"",O54&lt;&gt;"",T54&lt;&gt;""),"COMPLETE","MISSING FIELDS")))</f>
        <v/>
      </c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 t="str">
        <f aca="false">IF(A55="","",IF(COUNTIF($A$5:$A$154,A55)&gt;1,"DUPLICATE","UNIQUE"))</f>
        <v/>
      </c>
      <c r="W55" s="11" t="str">
        <f aca="false">IF(A55="","",IF(T55="Rejected","REJECTED",IF(AND(B55&lt;&gt;"",C55&lt;&gt;"",D55&lt;&gt;"",E55&lt;&gt;"",F55&lt;&gt;"",G55&lt;&gt;"",H55&lt;&gt;"",I55&lt;&gt;"",J55&lt;&gt;"",M55&lt;&gt;"",O55&lt;&gt;"",T55&lt;&gt;""),"COMPLETE","MISSING FIELDS")))</f>
        <v/>
      </c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 t="str">
        <f aca="false">IF(A56="","",IF(COUNTIF($A$5:$A$154,A56)&gt;1,"DUPLICATE","UNIQUE"))</f>
        <v/>
      </c>
      <c r="W56" s="11" t="str">
        <f aca="false">IF(A56="","",IF(T56="Rejected","REJECTED",IF(AND(B56&lt;&gt;"",C56&lt;&gt;"",D56&lt;&gt;"",E56&lt;&gt;"",F56&lt;&gt;"",G56&lt;&gt;"",H56&lt;&gt;"",I56&lt;&gt;"",J56&lt;&gt;"",M56&lt;&gt;"",O56&lt;&gt;"",T56&lt;&gt;""),"COMPLETE","MISSING FIELDS")))</f>
        <v/>
      </c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 t="str">
        <f aca="false">IF(A57="","",IF(COUNTIF($A$5:$A$154,A57)&gt;1,"DUPLICATE","UNIQUE"))</f>
        <v/>
      </c>
      <c r="W57" s="11" t="str">
        <f aca="false">IF(A57="","",IF(T57="Rejected","REJECTED",IF(AND(B57&lt;&gt;"",C57&lt;&gt;"",D57&lt;&gt;"",E57&lt;&gt;"",F57&lt;&gt;"",G57&lt;&gt;"",H57&lt;&gt;"",I57&lt;&gt;"",J57&lt;&gt;"",M57&lt;&gt;"",O57&lt;&gt;"",T57&lt;&gt;""),"COMPLETE","MISSING FIELDS")))</f>
        <v/>
      </c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 t="str">
        <f aca="false">IF(A58="","",IF(COUNTIF($A$5:$A$154,A58)&gt;1,"DUPLICATE","UNIQUE"))</f>
        <v/>
      </c>
      <c r="W58" s="11" t="str">
        <f aca="false">IF(A58="","",IF(T58="Rejected","REJECTED",IF(AND(B58&lt;&gt;"",C58&lt;&gt;"",D58&lt;&gt;"",E58&lt;&gt;"",F58&lt;&gt;"",G58&lt;&gt;"",H58&lt;&gt;"",I58&lt;&gt;"",J58&lt;&gt;"",M58&lt;&gt;"",O58&lt;&gt;"",T58&lt;&gt;""),"COMPLETE","MISSING FIELDS")))</f>
        <v/>
      </c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 t="str">
        <f aca="false">IF(A59="","",IF(COUNTIF($A$5:$A$154,A59)&gt;1,"DUPLICATE","UNIQUE"))</f>
        <v/>
      </c>
      <c r="W59" s="11" t="str">
        <f aca="false">IF(A59="","",IF(T59="Rejected","REJECTED",IF(AND(B59&lt;&gt;"",C59&lt;&gt;"",D59&lt;&gt;"",E59&lt;&gt;"",F59&lt;&gt;"",G59&lt;&gt;"",H59&lt;&gt;"",I59&lt;&gt;"",J59&lt;&gt;"",M59&lt;&gt;"",O59&lt;&gt;"",T59&lt;&gt;""),"COMPLETE","MISSING FIELDS")))</f>
        <v/>
      </c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 t="str">
        <f aca="false">IF(A60="","",IF(COUNTIF($A$5:$A$154,A60)&gt;1,"DUPLICATE","UNIQUE"))</f>
        <v/>
      </c>
      <c r="W60" s="11" t="str">
        <f aca="false">IF(A60="","",IF(T60="Rejected","REJECTED",IF(AND(B60&lt;&gt;"",C60&lt;&gt;"",D60&lt;&gt;"",E60&lt;&gt;"",F60&lt;&gt;"",G60&lt;&gt;"",H60&lt;&gt;"",I60&lt;&gt;"",J60&lt;&gt;"",M60&lt;&gt;"",O60&lt;&gt;"",T60&lt;&gt;""),"COMPLETE","MISSING FIELDS")))</f>
        <v/>
      </c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 t="str">
        <f aca="false">IF(A61="","",IF(COUNTIF($A$5:$A$154,A61)&gt;1,"DUPLICATE","UNIQUE"))</f>
        <v/>
      </c>
      <c r="W61" s="11" t="str">
        <f aca="false">IF(A61="","",IF(T61="Rejected","REJECTED",IF(AND(B61&lt;&gt;"",C61&lt;&gt;"",D61&lt;&gt;"",E61&lt;&gt;"",F61&lt;&gt;"",G61&lt;&gt;"",H61&lt;&gt;"",I61&lt;&gt;"",J61&lt;&gt;"",M61&lt;&gt;"",O61&lt;&gt;"",T61&lt;&gt;""),"COMPLETE","MISSING FIELDS")))</f>
        <v/>
      </c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 t="str">
        <f aca="false">IF(A62="","",IF(COUNTIF($A$5:$A$154,A62)&gt;1,"DUPLICATE","UNIQUE"))</f>
        <v/>
      </c>
      <c r="W62" s="11" t="str">
        <f aca="false">IF(A62="","",IF(T62="Rejected","REJECTED",IF(AND(B62&lt;&gt;"",C62&lt;&gt;"",D62&lt;&gt;"",E62&lt;&gt;"",F62&lt;&gt;"",G62&lt;&gt;"",H62&lt;&gt;"",I62&lt;&gt;"",J62&lt;&gt;"",M62&lt;&gt;"",O62&lt;&gt;"",T62&lt;&gt;""),"COMPLETE","MISSING FIELDS")))</f>
        <v/>
      </c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 t="str">
        <f aca="false">IF(A63="","",IF(COUNTIF($A$5:$A$154,A63)&gt;1,"DUPLICATE","UNIQUE"))</f>
        <v/>
      </c>
      <c r="W63" s="11" t="str">
        <f aca="false">IF(A63="","",IF(T63="Rejected","REJECTED",IF(AND(B63&lt;&gt;"",C63&lt;&gt;"",D63&lt;&gt;"",E63&lt;&gt;"",F63&lt;&gt;"",G63&lt;&gt;"",H63&lt;&gt;"",I63&lt;&gt;"",J63&lt;&gt;"",M63&lt;&gt;"",O63&lt;&gt;"",T63&lt;&gt;""),"COMPLETE","MISSING FIELDS")))</f>
        <v/>
      </c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 t="str">
        <f aca="false">IF(A64="","",IF(COUNTIF($A$5:$A$154,A64)&gt;1,"DUPLICATE","UNIQUE"))</f>
        <v/>
      </c>
      <c r="W64" s="11" t="str">
        <f aca="false">IF(A64="","",IF(T64="Rejected","REJECTED",IF(AND(B64&lt;&gt;"",C64&lt;&gt;"",D64&lt;&gt;"",E64&lt;&gt;"",F64&lt;&gt;"",G64&lt;&gt;"",H64&lt;&gt;"",I64&lt;&gt;"",J64&lt;&gt;"",M64&lt;&gt;"",O64&lt;&gt;"",T64&lt;&gt;""),"COMPLETE","MISSING FIELDS")))</f>
        <v/>
      </c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 t="str">
        <f aca="false">IF(A65="","",IF(COUNTIF($A$5:$A$154,A65)&gt;1,"DUPLICATE","UNIQUE"))</f>
        <v/>
      </c>
      <c r="W65" s="11" t="str">
        <f aca="false">IF(A65="","",IF(T65="Rejected","REJECTED",IF(AND(B65&lt;&gt;"",C65&lt;&gt;"",D65&lt;&gt;"",E65&lt;&gt;"",F65&lt;&gt;"",G65&lt;&gt;"",H65&lt;&gt;"",I65&lt;&gt;"",J65&lt;&gt;"",M65&lt;&gt;"",O65&lt;&gt;"",T65&lt;&gt;""),"COMPLETE","MISSING FIELDS")))</f>
        <v/>
      </c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 t="str">
        <f aca="false">IF(A66="","",IF(COUNTIF($A$5:$A$154,A66)&gt;1,"DUPLICATE","UNIQUE"))</f>
        <v/>
      </c>
      <c r="W66" s="11" t="str">
        <f aca="false">IF(A66="","",IF(T66="Rejected","REJECTED",IF(AND(B66&lt;&gt;"",C66&lt;&gt;"",D66&lt;&gt;"",E66&lt;&gt;"",F66&lt;&gt;"",G66&lt;&gt;"",H66&lt;&gt;"",I66&lt;&gt;"",J66&lt;&gt;"",M66&lt;&gt;"",O66&lt;&gt;"",T66&lt;&gt;""),"COMPLETE","MISSING FIELDS")))</f>
        <v/>
      </c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 t="str">
        <f aca="false">IF(A67="","",IF(COUNTIF($A$5:$A$154,A67)&gt;1,"DUPLICATE","UNIQUE"))</f>
        <v/>
      </c>
      <c r="W67" s="11" t="str">
        <f aca="false">IF(A67="","",IF(T67="Rejected","REJECTED",IF(AND(B67&lt;&gt;"",C67&lt;&gt;"",D67&lt;&gt;"",E67&lt;&gt;"",F67&lt;&gt;"",G67&lt;&gt;"",H67&lt;&gt;"",I67&lt;&gt;"",J67&lt;&gt;"",M67&lt;&gt;"",O67&lt;&gt;"",T67&lt;&gt;""),"COMPLETE","MISSING FIELDS")))</f>
        <v/>
      </c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 t="str">
        <f aca="false">IF(A68="","",IF(COUNTIF($A$5:$A$154,A68)&gt;1,"DUPLICATE","UNIQUE"))</f>
        <v/>
      </c>
      <c r="W68" s="11" t="str">
        <f aca="false">IF(A68="","",IF(T68="Rejected","REJECTED",IF(AND(B68&lt;&gt;"",C68&lt;&gt;"",D68&lt;&gt;"",E68&lt;&gt;"",F68&lt;&gt;"",G68&lt;&gt;"",H68&lt;&gt;"",I68&lt;&gt;"",J68&lt;&gt;"",M68&lt;&gt;"",O68&lt;&gt;"",T68&lt;&gt;""),"COMPLETE","MISSING FIELDS")))</f>
        <v/>
      </c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 t="str">
        <f aca="false">IF(A69="","",IF(COUNTIF($A$5:$A$154,A69)&gt;1,"DUPLICATE","UNIQUE"))</f>
        <v/>
      </c>
      <c r="W69" s="11" t="str">
        <f aca="false">IF(A69="","",IF(T69="Rejected","REJECTED",IF(AND(B69&lt;&gt;"",C69&lt;&gt;"",D69&lt;&gt;"",E69&lt;&gt;"",F69&lt;&gt;"",G69&lt;&gt;"",H69&lt;&gt;"",I69&lt;&gt;"",J69&lt;&gt;"",M69&lt;&gt;"",O69&lt;&gt;"",T69&lt;&gt;""),"COMPLETE","MISSING FIELDS")))</f>
        <v/>
      </c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 t="str">
        <f aca="false">IF(A70="","",IF(COUNTIF($A$5:$A$154,A70)&gt;1,"DUPLICATE","UNIQUE"))</f>
        <v/>
      </c>
      <c r="W70" s="11" t="str">
        <f aca="false">IF(A70="","",IF(T70="Rejected","REJECTED",IF(AND(B70&lt;&gt;"",C70&lt;&gt;"",D70&lt;&gt;"",E70&lt;&gt;"",F70&lt;&gt;"",G70&lt;&gt;"",H70&lt;&gt;"",I70&lt;&gt;"",J70&lt;&gt;"",M70&lt;&gt;"",O70&lt;&gt;"",T70&lt;&gt;""),"COMPLETE","MISSING FIELDS")))</f>
        <v/>
      </c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 t="str">
        <f aca="false">IF(A71="","",IF(COUNTIF($A$5:$A$154,A71)&gt;1,"DUPLICATE","UNIQUE"))</f>
        <v/>
      </c>
      <c r="W71" s="11" t="str">
        <f aca="false">IF(A71="","",IF(T71="Rejected","REJECTED",IF(AND(B71&lt;&gt;"",C71&lt;&gt;"",D71&lt;&gt;"",E71&lt;&gt;"",F71&lt;&gt;"",G71&lt;&gt;"",H71&lt;&gt;"",I71&lt;&gt;"",J71&lt;&gt;"",M71&lt;&gt;"",O71&lt;&gt;"",T71&lt;&gt;""),"COMPLETE","MISSING FIELDS")))</f>
        <v/>
      </c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 t="str">
        <f aca="false">IF(A72="","",IF(COUNTIF($A$5:$A$154,A72)&gt;1,"DUPLICATE","UNIQUE"))</f>
        <v/>
      </c>
      <c r="W72" s="11" t="str">
        <f aca="false">IF(A72="","",IF(T72="Rejected","REJECTED",IF(AND(B72&lt;&gt;"",C72&lt;&gt;"",D72&lt;&gt;"",E72&lt;&gt;"",F72&lt;&gt;"",G72&lt;&gt;"",H72&lt;&gt;"",I72&lt;&gt;"",J72&lt;&gt;"",M72&lt;&gt;"",O72&lt;&gt;"",T72&lt;&gt;""),"COMPLETE","MISSING FIELDS")))</f>
        <v/>
      </c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 t="str">
        <f aca="false">IF(A73="","",IF(COUNTIF($A$5:$A$154,A73)&gt;1,"DUPLICATE","UNIQUE"))</f>
        <v/>
      </c>
      <c r="W73" s="11" t="str">
        <f aca="false">IF(A73="","",IF(T73="Rejected","REJECTED",IF(AND(B73&lt;&gt;"",C73&lt;&gt;"",D73&lt;&gt;"",E73&lt;&gt;"",F73&lt;&gt;"",G73&lt;&gt;"",H73&lt;&gt;"",I73&lt;&gt;"",J73&lt;&gt;"",M73&lt;&gt;"",O73&lt;&gt;"",T73&lt;&gt;""),"COMPLETE","MISSING FIELDS")))</f>
        <v/>
      </c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 t="str">
        <f aca="false">IF(A74="","",IF(COUNTIF($A$5:$A$154,A74)&gt;1,"DUPLICATE","UNIQUE"))</f>
        <v/>
      </c>
      <c r="W74" s="11" t="str">
        <f aca="false">IF(A74="","",IF(T74="Rejected","REJECTED",IF(AND(B74&lt;&gt;"",C74&lt;&gt;"",D74&lt;&gt;"",E74&lt;&gt;"",F74&lt;&gt;"",G74&lt;&gt;"",H74&lt;&gt;"",I74&lt;&gt;"",J74&lt;&gt;"",M74&lt;&gt;"",O74&lt;&gt;"",T74&lt;&gt;""),"COMPLETE","MISSING FIELDS")))</f>
        <v/>
      </c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 t="str">
        <f aca="false">IF(A75="","",IF(COUNTIF($A$5:$A$154,A75)&gt;1,"DUPLICATE","UNIQUE"))</f>
        <v/>
      </c>
      <c r="W75" s="11" t="str">
        <f aca="false">IF(A75="","",IF(T75="Rejected","REJECTED",IF(AND(B75&lt;&gt;"",C75&lt;&gt;"",D75&lt;&gt;"",E75&lt;&gt;"",F75&lt;&gt;"",G75&lt;&gt;"",H75&lt;&gt;"",I75&lt;&gt;"",J75&lt;&gt;"",M75&lt;&gt;"",O75&lt;&gt;"",T75&lt;&gt;""),"COMPLETE","MISSING FIELDS")))</f>
        <v/>
      </c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 t="str">
        <f aca="false">IF(A76="","",IF(COUNTIF($A$5:$A$154,A76)&gt;1,"DUPLICATE","UNIQUE"))</f>
        <v/>
      </c>
      <c r="W76" s="11" t="str">
        <f aca="false">IF(A76="","",IF(T76="Rejected","REJECTED",IF(AND(B76&lt;&gt;"",C76&lt;&gt;"",D76&lt;&gt;"",E76&lt;&gt;"",F76&lt;&gt;"",G76&lt;&gt;"",H76&lt;&gt;"",I76&lt;&gt;"",J76&lt;&gt;"",M76&lt;&gt;"",O76&lt;&gt;"",T76&lt;&gt;""),"COMPLETE","MISSING FIELDS")))</f>
        <v/>
      </c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 t="str">
        <f aca="false">IF(A77="","",IF(COUNTIF($A$5:$A$154,A77)&gt;1,"DUPLICATE","UNIQUE"))</f>
        <v/>
      </c>
      <c r="W77" s="11" t="str">
        <f aca="false">IF(A77="","",IF(T77="Rejected","REJECTED",IF(AND(B77&lt;&gt;"",C77&lt;&gt;"",D77&lt;&gt;"",E77&lt;&gt;"",F77&lt;&gt;"",G77&lt;&gt;"",H77&lt;&gt;"",I77&lt;&gt;"",J77&lt;&gt;"",M77&lt;&gt;"",O77&lt;&gt;"",T77&lt;&gt;""),"COMPLETE","MISSING FIELDS")))</f>
        <v/>
      </c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 t="str">
        <f aca="false">IF(A78="","",IF(COUNTIF($A$5:$A$154,A78)&gt;1,"DUPLICATE","UNIQUE"))</f>
        <v/>
      </c>
      <c r="W78" s="11" t="str">
        <f aca="false">IF(A78="","",IF(T78="Rejected","REJECTED",IF(AND(B78&lt;&gt;"",C78&lt;&gt;"",D78&lt;&gt;"",E78&lt;&gt;"",F78&lt;&gt;"",G78&lt;&gt;"",H78&lt;&gt;"",I78&lt;&gt;"",J78&lt;&gt;"",M78&lt;&gt;"",O78&lt;&gt;"",T78&lt;&gt;""),"COMPLETE","MISSING FIELDS")))</f>
        <v/>
      </c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 t="str">
        <f aca="false">IF(A79="","",IF(COUNTIF($A$5:$A$154,A79)&gt;1,"DUPLICATE","UNIQUE"))</f>
        <v/>
      </c>
      <c r="W79" s="11" t="str">
        <f aca="false">IF(A79="","",IF(T79="Rejected","REJECTED",IF(AND(B79&lt;&gt;"",C79&lt;&gt;"",D79&lt;&gt;"",E79&lt;&gt;"",F79&lt;&gt;"",G79&lt;&gt;"",H79&lt;&gt;"",I79&lt;&gt;"",J79&lt;&gt;"",M79&lt;&gt;"",O79&lt;&gt;"",T79&lt;&gt;""),"COMPLETE","MISSING FIELDS")))</f>
        <v/>
      </c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 t="str">
        <f aca="false">IF(A80="","",IF(COUNTIF($A$5:$A$154,A80)&gt;1,"DUPLICATE","UNIQUE"))</f>
        <v/>
      </c>
      <c r="W80" s="11" t="str">
        <f aca="false">IF(A80="","",IF(T80="Rejected","REJECTED",IF(AND(B80&lt;&gt;"",C80&lt;&gt;"",D80&lt;&gt;"",E80&lt;&gt;"",F80&lt;&gt;"",G80&lt;&gt;"",H80&lt;&gt;"",I80&lt;&gt;"",J80&lt;&gt;"",M80&lt;&gt;"",O80&lt;&gt;"",T80&lt;&gt;""),"COMPLETE","MISSING FIELDS")))</f>
        <v/>
      </c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 t="str">
        <f aca="false">IF(A81="","",IF(COUNTIF($A$5:$A$154,A81)&gt;1,"DUPLICATE","UNIQUE"))</f>
        <v/>
      </c>
      <c r="W81" s="11" t="str">
        <f aca="false">IF(A81="","",IF(T81="Rejected","REJECTED",IF(AND(B81&lt;&gt;"",C81&lt;&gt;"",D81&lt;&gt;"",E81&lt;&gt;"",F81&lt;&gt;"",G81&lt;&gt;"",H81&lt;&gt;"",I81&lt;&gt;"",J81&lt;&gt;"",M81&lt;&gt;"",O81&lt;&gt;"",T81&lt;&gt;""),"COMPLETE","MISSING FIELDS")))</f>
        <v/>
      </c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 t="str">
        <f aca="false">IF(A82="","",IF(COUNTIF($A$5:$A$154,A82)&gt;1,"DUPLICATE","UNIQUE"))</f>
        <v/>
      </c>
      <c r="W82" s="11" t="str">
        <f aca="false">IF(A82="","",IF(T82="Rejected","REJECTED",IF(AND(B82&lt;&gt;"",C82&lt;&gt;"",D82&lt;&gt;"",E82&lt;&gt;"",F82&lt;&gt;"",G82&lt;&gt;"",H82&lt;&gt;"",I82&lt;&gt;"",J82&lt;&gt;"",M82&lt;&gt;"",O82&lt;&gt;"",T82&lt;&gt;""),"COMPLETE","MISSING FIELDS")))</f>
        <v/>
      </c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 t="str">
        <f aca="false">IF(A83="","",IF(COUNTIF($A$5:$A$154,A83)&gt;1,"DUPLICATE","UNIQUE"))</f>
        <v/>
      </c>
      <c r="W83" s="11" t="str">
        <f aca="false">IF(A83="","",IF(T83="Rejected","REJECTED",IF(AND(B83&lt;&gt;"",C83&lt;&gt;"",D83&lt;&gt;"",E83&lt;&gt;"",F83&lt;&gt;"",G83&lt;&gt;"",H83&lt;&gt;"",I83&lt;&gt;"",J83&lt;&gt;"",M83&lt;&gt;"",O83&lt;&gt;"",T83&lt;&gt;""),"COMPLETE","MISSING FIELDS")))</f>
        <v/>
      </c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 t="str">
        <f aca="false">IF(A84="","",IF(COUNTIF($A$5:$A$154,A84)&gt;1,"DUPLICATE","UNIQUE"))</f>
        <v/>
      </c>
      <c r="W84" s="11" t="str">
        <f aca="false">IF(A84="","",IF(T84="Rejected","REJECTED",IF(AND(B84&lt;&gt;"",C84&lt;&gt;"",D84&lt;&gt;"",E84&lt;&gt;"",F84&lt;&gt;"",G84&lt;&gt;"",H84&lt;&gt;"",I84&lt;&gt;"",J84&lt;&gt;"",M84&lt;&gt;"",O84&lt;&gt;"",T84&lt;&gt;""),"COMPLETE","MISSING FIELDS")))</f>
        <v/>
      </c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 t="str">
        <f aca="false">IF(A85="","",IF(COUNTIF($A$5:$A$154,A85)&gt;1,"DUPLICATE","UNIQUE"))</f>
        <v/>
      </c>
      <c r="W85" s="11" t="str">
        <f aca="false">IF(A85="","",IF(T85="Rejected","REJECTED",IF(AND(B85&lt;&gt;"",C85&lt;&gt;"",D85&lt;&gt;"",E85&lt;&gt;"",F85&lt;&gt;"",G85&lt;&gt;"",H85&lt;&gt;"",I85&lt;&gt;"",J85&lt;&gt;"",M85&lt;&gt;"",O85&lt;&gt;"",T85&lt;&gt;""),"COMPLETE","MISSING FIELDS")))</f>
        <v/>
      </c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 t="str">
        <f aca="false">IF(A86="","",IF(COUNTIF($A$5:$A$154,A86)&gt;1,"DUPLICATE","UNIQUE"))</f>
        <v/>
      </c>
      <c r="W86" s="11" t="str">
        <f aca="false">IF(A86="","",IF(T86="Rejected","REJECTED",IF(AND(B86&lt;&gt;"",C86&lt;&gt;"",D86&lt;&gt;"",E86&lt;&gt;"",F86&lt;&gt;"",G86&lt;&gt;"",H86&lt;&gt;"",I86&lt;&gt;"",J86&lt;&gt;"",M86&lt;&gt;"",O86&lt;&gt;"",T86&lt;&gt;""),"COMPLETE","MISSING FIELDS")))</f>
        <v/>
      </c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 t="str">
        <f aca="false">IF(A87="","",IF(COUNTIF($A$5:$A$154,A87)&gt;1,"DUPLICATE","UNIQUE"))</f>
        <v/>
      </c>
      <c r="W87" s="11" t="str">
        <f aca="false">IF(A87="","",IF(T87="Rejected","REJECTED",IF(AND(B87&lt;&gt;"",C87&lt;&gt;"",D87&lt;&gt;"",E87&lt;&gt;"",F87&lt;&gt;"",G87&lt;&gt;"",H87&lt;&gt;"",I87&lt;&gt;"",J87&lt;&gt;"",M87&lt;&gt;"",O87&lt;&gt;"",T87&lt;&gt;""),"COMPLETE","MISSING FIELDS")))</f>
        <v/>
      </c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 t="str">
        <f aca="false">IF(A88="","",IF(COUNTIF($A$5:$A$154,A88)&gt;1,"DUPLICATE","UNIQUE"))</f>
        <v/>
      </c>
      <c r="W88" s="11" t="str">
        <f aca="false">IF(A88="","",IF(T88="Rejected","REJECTED",IF(AND(B88&lt;&gt;"",C88&lt;&gt;"",D88&lt;&gt;"",E88&lt;&gt;"",F88&lt;&gt;"",G88&lt;&gt;"",H88&lt;&gt;"",I88&lt;&gt;"",J88&lt;&gt;"",M88&lt;&gt;"",O88&lt;&gt;"",T88&lt;&gt;""),"COMPLETE","MISSING FIELDS")))</f>
        <v/>
      </c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 t="str">
        <f aca="false">IF(A89="","",IF(COUNTIF($A$5:$A$154,A89)&gt;1,"DUPLICATE","UNIQUE"))</f>
        <v/>
      </c>
      <c r="W89" s="11" t="str">
        <f aca="false">IF(A89="","",IF(T89="Rejected","REJECTED",IF(AND(B89&lt;&gt;"",C89&lt;&gt;"",D89&lt;&gt;"",E89&lt;&gt;"",F89&lt;&gt;"",G89&lt;&gt;"",H89&lt;&gt;"",I89&lt;&gt;"",J89&lt;&gt;"",M89&lt;&gt;"",O89&lt;&gt;"",T89&lt;&gt;""),"COMPLETE","MISSING FIELDS")))</f>
        <v/>
      </c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 t="str">
        <f aca="false">IF(A90="","",IF(COUNTIF($A$5:$A$154,A90)&gt;1,"DUPLICATE","UNIQUE"))</f>
        <v/>
      </c>
      <c r="W90" s="11" t="str">
        <f aca="false">IF(A90="","",IF(T90="Rejected","REJECTED",IF(AND(B90&lt;&gt;"",C90&lt;&gt;"",D90&lt;&gt;"",E90&lt;&gt;"",F90&lt;&gt;"",G90&lt;&gt;"",H90&lt;&gt;"",I90&lt;&gt;"",J90&lt;&gt;"",M90&lt;&gt;"",O90&lt;&gt;"",T90&lt;&gt;""),"COMPLETE","MISSING FIELDS")))</f>
        <v/>
      </c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 t="str">
        <f aca="false">IF(A91="","",IF(COUNTIF($A$5:$A$154,A91)&gt;1,"DUPLICATE","UNIQUE"))</f>
        <v/>
      </c>
      <c r="W91" s="11" t="str">
        <f aca="false">IF(A91="","",IF(T91="Rejected","REJECTED",IF(AND(B91&lt;&gt;"",C91&lt;&gt;"",D91&lt;&gt;"",E91&lt;&gt;"",F91&lt;&gt;"",G91&lt;&gt;"",H91&lt;&gt;"",I91&lt;&gt;"",J91&lt;&gt;"",M91&lt;&gt;"",O91&lt;&gt;"",T91&lt;&gt;""),"COMPLETE","MISSING FIELDS")))</f>
        <v/>
      </c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 t="str">
        <f aca="false">IF(A92="","",IF(COUNTIF($A$5:$A$154,A92)&gt;1,"DUPLICATE","UNIQUE"))</f>
        <v/>
      </c>
      <c r="W92" s="11" t="str">
        <f aca="false">IF(A92="","",IF(T92="Rejected","REJECTED",IF(AND(B92&lt;&gt;"",C92&lt;&gt;"",D92&lt;&gt;"",E92&lt;&gt;"",F92&lt;&gt;"",G92&lt;&gt;"",H92&lt;&gt;"",I92&lt;&gt;"",J92&lt;&gt;"",M92&lt;&gt;"",O92&lt;&gt;"",T92&lt;&gt;""),"COMPLETE","MISSING FIELDS")))</f>
        <v/>
      </c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 t="str">
        <f aca="false">IF(A93="","",IF(COUNTIF($A$5:$A$154,A93)&gt;1,"DUPLICATE","UNIQUE"))</f>
        <v/>
      </c>
      <c r="W93" s="11" t="str">
        <f aca="false">IF(A93="","",IF(T93="Rejected","REJECTED",IF(AND(B93&lt;&gt;"",C93&lt;&gt;"",D93&lt;&gt;"",E93&lt;&gt;"",F93&lt;&gt;"",G93&lt;&gt;"",H93&lt;&gt;"",I93&lt;&gt;"",J93&lt;&gt;"",M93&lt;&gt;"",O93&lt;&gt;"",T93&lt;&gt;""),"COMPLETE","MISSING FIELDS")))</f>
        <v/>
      </c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 t="str">
        <f aca="false">IF(A94="","",IF(COUNTIF($A$5:$A$154,A94)&gt;1,"DUPLICATE","UNIQUE"))</f>
        <v/>
      </c>
      <c r="W94" s="11" t="str">
        <f aca="false">IF(A94="","",IF(T94="Rejected","REJECTED",IF(AND(B94&lt;&gt;"",C94&lt;&gt;"",D94&lt;&gt;"",E94&lt;&gt;"",F94&lt;&gt;"",G94&lt;&gt;"",H94&lt;&gt;"",I94&lt;&gt;"",J94&lt;&gt;"",M94&lt;&gt;"",O94&lt;&gt;"",T94&lt;&gt;""),"COMPLETE","MISSING FIELDS")))</f>
        <v/>
      </c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 t="str">
        <f aca="false">IF(A95="","",IF(COUNTIF($A$5:$A$154,A95)&gt;1,"DUPLICATE","UNIQUE"))</f>
        <v/>
      </c>
      <c r="W95" s="11" t="str">
        <f aca="false">IF(A95="","",IF(T95="Rejected","REJECTED",IF(AND(B95&lt;&gt;"",C95&lt;&gt;"",D95&lt;&gt;"",E95&lt;&gt;"",F95&lt;&gt;"",G95&lt;&gt;"",H95&lt;&gt;"",I95&lt;&gt;"",J95&lt;&gt;"",M95&lt;&gt;"",O95&lt;&gt;"",T95&lt;&gt;""),"COMPLETE","MISSING FIELDS")))</f>
        <v/>
      </c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 t="str">
        <f aca="false">IF(A96="","",IF(COUNTIF($A$5:$A$154,A96)&gt;1,"DUPLICATE","UNIQUE"))</f>
        <v/>
      </c>
      <c r="W96" s="11" t="str">
        <f aca="false">IF(A96="","",IF(T96="Rejected","REJECTED",IF(AND(B96&lt;&gt;"",C96&lt;&gt;"",D96&lt;&gt;"",E96&lt;&gt;"",F96&lt;&gt;"",G96&lt;&gt;"",H96&lt;&gt;"",I96&lt;&gt;"",J96&lt;&gt;"",M96&lt;&gt;"",O96&lt;&gt;"",T96&lt;&gt;""),"COMPLETE","MISSING FIELDS")))</f>
        <v/>
      </c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 t="str">
        <f aca="false">IF(A97="","",IF(COUNTIF($A$5:$A$154,A97)&gt;1,"DUPLICATE","UNIQUE"))</f>
        <v/>
      </c>
      <c r="W97" s="11" t="str">
        <f aca="false">IF(A97="","",IF(T97="Rejected","REJECTED",IF(AND(B97&lt;&gt;"",C97&lt;&gt;"",D97&lt;&gt;"",E97&lt;&gt;"",F97&lt;&gt;"",G97&lt;&gt;"",H97&lt;&gt;"",I97&lt;&gt;"",J97&lt;&gt;"",M97&lt;&gt;"",O97&lt;&gt;"",T97&lt;&gt;""),"COMPLETE","MISSING FIELDS")))</f>
        <v/>
      </c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 t="str">
        <f aca="false">IF(A98="","",IF(COUNTIF($A$5:$A$154,A98)&gt;1,"DUPLICATE","UNIQUE"))</f>
        <v/>
      </c>
      <c r="W98" s="11" t="str">
        <f aca="false">IF(A98="","",IF(T98="Rejected","REJECTED",IF(AND(B98&lt;&gt;"",C98&lt;&gt;"",D98&lt;&gt;"",E98&lt;&gt;"",F98&lt;&gt;"",G98&lt;&gt;"",H98&lt;&gt;"",I98&lt;&gt;"",J98&lt;&gt;"",M98&lt;&gt;"",O98&lt;&gt;"",T98&lt;&gt;""),"COMPLETE","MISSING FIELDS")))</f>
        <v/>
      </c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 t="str">
        <f aca="false">IF(A99="","",IF(COUNTIF($A$5:$A$154,A99)&gt;1,"DUPLICATE","UNIQUE"))</f>
        <v/>
      </c>
      <c r="W99" s="11" t="str">
        <f aca="false">IF(A99="","",IF(T99="Rejected","REJECTED",IF(AND(B99&lt;&gt;"",C99&lt;&gt;"",D99&lt;&gt;"",E99&lt;&gt;"",F99&lt;&gt;"",G99&lt;&gt;"",H99&lt;&gt;"",I99&lt;&gt;"",J99&lt;&gt;"",M99&lt;&gt;"",O99&lt;&gt;"",T99&lt;&gt;""),"COMPLETE","MISSING FIELDS")))</f>
        <v/>
      </c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 t="str">
        <f aca="false">IF(A100="","",IF(COUNTIF($A$5:$A$154,A100)&gt;1,"DUPLICATE","UNIQUE"))</f>
        <v/>
      </c>
      <c r="W100" s="11" t="str">
        <f aca="false">IF(A100="","",IF(T100="Rejected","REJECTED",IF(AND(B100&lt;&gt;"",C100&lt;&gt;"",D100&lt;&gt;"",E100&lt;&gt;"",F100&lt;&gt;"",G100&lt;&gt;"",H100&lt;&gt;"",I100&lt;&gt;"",J100&lt;&gt;"",M100&lt;&gt;"",O100&lt;&gt;"",T100&lt;&gt;""),"COMPLETE","MISSING FIELDS")))</f>
        <v/>
      </c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 t="str">
        <f aca="false">IF(A101="","",IF(COUNTIF($A$5:$A$154,A101)&gt;1,"DUPLICATE","UNIQUE"))</f>
        <v/>
      </c>
      <c r="W101" s="11" t="str">
        <f aca="false">IF(A101="","",IF(T101="Rejected","REJECTED",IF(AND(B101&lt;&gt;"",C101&lt;&gt;"",D101&lt;&gt;"",E101&lt;&gt;"",F101&lt;&gt;"",G101&lt;&gt;"",H101&lt;&gt;"",I101&lt;&gt;"",J101&lt;&gt;"",M101&lt;&gt;"",O101&lt;&gt;"",T101&lt;&gt;""),"COMPLETE","MISSING FIELDS")))</f>
        <v/>
      </c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 t="str">
        <f aca="false">IF(A102="","",IF(COUNTIF($A$5:$A$154,A102)&gt;1,"DUPLICATE","UNIQUE"))</f>
        <v/>
      </c>
      <c r="W102" s="11" t="str">
        <f aca="false">IF(A102="","",IF(T102="Rejected","REJECTED",IF(AND(B102&lt;&gt;"",C102&lt;&gt;"",D102&lt;&gt;"",E102&lt;&gt;"",F102&lt;&gt;"",G102&lt;&gt;"",H102&lt;&gt;"",I102&lt;&gt;"",J102&lt;&gt;"",M102&lt;&gt;"",O102&lt;&gt;"",T102&lt;&gt;""),"COMPLETE","MISSING FIELDS")))</f>
        <v/>
      </c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 t="str">
        <f aca="false">IF(A103="","",IF(COUNTIF($A$5:$A$154,A103)&gt;1,"DUPLICATE","UNIQUE"))</f>
        <v/>
      </c>
      <c r="W103" s="11" t="str">
        <f aca="false">IF(A103="","",IF(T103="Rejected","REJECTED",IF(AND(B103&lt;&gt;"",C103&lt;&gt;"",D103&lt;&gt;"",E103&lt;&gt;"",F103&lt;&gt;"",G103&lt;&gt;"",H103&lt;&gt;"",I103&lt;&gt;"",J103&lt;&gt;"",M103&lt;&gt;"",O103&lt;&gt;"",T103&lt;&gt;""),"COMPLETE","MISSING FIELDS")))</f>
        <v/>
      </c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 t="str">
        <f aca="false">IF(A104="","",IF(COUNTIF($A$5:$A$154,A104)&gt;1,"DUPLICATE","UNIQUE"))</f>
        <v/>
      </c>
      <c r="W104" s="11" t="str">
        <f aca="false">IF(A104="","",IF(T104="Rejected","REJECTED",IF(AND(B104&lt;&gt;"",C104&lt;&gt;"",D104&lt;&gt;"",E104&lt;&gt;"",F104&lt;&gt;"",G104&lt;&gt;"",H104&lt;&gt;"",I104&lt;&gt;"",J104&lt;&gt;"",M104&lt;&gt;"",O104&lt;&gt;"",T104&lt;&gt;""),"COMPLETE","MISSING FIELDS")))</f>
        <v/>
      </c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 t="str">
        <f aca="false">IF(A105="","",IF(COUNTIF($A$5:$A$154,A105)&gt;1,"DUPLICATE","UNIQUE"))</f>
        <v/>
      </c>
      <c r="W105" s="11" t="str">
        <f aca="false">IF(A105="","",IF(T105="Rejected","REJECTED",IF(AND(B105&lt;&gt;"",C105&lt;&gt;"",D105&lt;&gt;"",E105&lt;&gt;"",F105&lt;&gt;"",G105&lt;&gt;"",H105&lt;&gt;"",I105&lt;&gt;"",J105&lt;&gt;"",M105&lt;&gt;"",O105&lt;&gt;"",T105&lt;&gt;""),"COMPLETE","MISSING FIELDS")))</f>
        <v/>
      </c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 t="str">
        <f aca="false">IF(A106="","",IF(COUNTIF($A$5:$A$154,A106)&gt;1,"DUPLICATE","UNIQUE"))</f>
        <v/>
      </c>
      <c r="W106" s="11" t="str">
        <f aca="false">IF(A106="","",IF(T106="Rejected","REJECTED",IF(AND(B106&lt;&gt;"",C106&lt;&gt;"",D106&lt;&gt;"",E106&lt;&gt;"",F106&lt;&gt;"",G106&lt;&gt;"",H106&lt;&gt;"",I106&lt;&gt;"",J106&lt;&gt;"",M106&lt;&gt;"",O106&lt;&gt;"",T106&lt;&gt;""),"COMPLETE","MISSING FIELDS")))</f>
        <v/>
      </c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 t="str">
        <f aca="false">IF(A107="","",IF(COUNTIF($A$5:$A$154,A107)&gt;1,"DUPLICATE","UNIQUE"))</f>
        <v/>
      </c>
      <c r="W107" s="11" t="str">
        <f aca="false">IF(A107="","",IF(T107="Rejected","REJECTED",IF(AND(B107&lt;&gt;"",C107&lt;&gt;"",D107&lt;&gt;"",E107&lt;&gt;"",F107&lt;&gt;"",G107&lt;&gt;"",H107&lt;&gt;"",I107&lt;&gt;"",J107&lt;&gt;"",M107&lt;&gt;"",O107&lt;&gt;"",T107&lt;&gt;""),"COMPLETE","MISSING FIELDS")))</f>
        <v/>
      </c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 t="str">
        <f aca="false">IF(A108="","",IF(COUNTIF($A$5:$A$154,A108)&gt;1,"DUPLICATE","UNIQUE"))</f>
        <v/>
      </c>
      <c r="W108" s="11" t="str">
        <f aca="false">IF(A108="","",IF(T108="Rejected","REJECTED",IF(AND(B108&lt;&gt;"",C108&lt;&gt;"",D108&lt;&gt;"",E108&lt;&gt;"",F108&lt;&gt;"",G108&lt;&gt;"",H108&lt;&gt;"",I108&lt;&gt;"",J108&lt;&gt;"",M108&lt;&gt;"",O108&lt;&gt;"",T108&lt;&gt;""),"COMPLETE","MISSING FIELDS")))</f>
        <v/>
      </c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 t="str">
        <f aca="false">IF(A109="","",IF(COUNTIF($A$5:$A$154,A109)&gt;1,"DUPLICATE","UNIQUE"))</f>
        <v/>
      </c>
      <c r="W109" s="11" t="str">
        <f aca="false">IF(A109="","",IF(T109="Rejected","REJECTED",IF(AND(B109&lt;&gt;"",C109&lt;&gt;"",D109&lt;&gt;"",E109&lt;&gt;"",F109&lt;&gt;"",G109&lt;&gt;"",H109&lt;&gt;"",I109&lt;&gt;"",J109&lt;&gt;"",M109&lt;&gt;"",O109&lt;&gt;"",T109&lt;&gt;""),"COMPLETE","MISSING FIELDS")))</f>
        <v/>
      </c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 t="str">
        <f aca="false">IF(A110="","",IF(COUNTIF($A$5:$A$154,A110)&gt;1,"DUPLICATE","UNIQUE"))</f>
        <v/>
      </c>
      <c r="W110" s="11" t="str">
        <f aca="false">IF(A110="","",IF(T110="Rejected","REJECTED",IF(AND(B110&lt;&gt;"",C110&lt;&gt;"",D110&lt;&gt;"",E110&lt;&gt;"",F110&lt;&gt;"",G110&lt;&gt;"",H110&lt;&gt;"",I110&lt;&gt;"",J110&lt;&gt;"",M110&lt;&gt;"",O110&lt;&gt;"",T110&lt;&gt;""),"COMPLETE","MISSING FIELDS")))</f>
        <v/>
      </c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 t="str">
        <f aca="false">IF(A111="","",IF(COUNTIF($A$5:$A$154,A111)&gt;1,"DUPLICATE","UNIQUE"))</f>
        <v/>
      </c>
      <c r="W111" s="11" t="str">
        <f aca="false">IF(A111="","",IF(T111="Rejected","REJECTED",IF(AND(B111&lt;&gt;"",C111&lt;&gt;"",D111&lt;&gt;"",E111&lt;&gt;"",F111&lt;&gt;"",G111&lt;&gt;"",H111&lt;&gt;"",I111&lt;&gt;"",J111&lt;&gt;"",M111&lt;&gt;"",O111&lt;&gt;"",T111&lt;&gt;""),"COMPLETE","MISSING FIELDS")))</f>
        <v/>
      </c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 t="str">
        <f aca="false">IF(A112="","",IF(COUNTIF($A$5:$A$154,A112)&gt;1,"DUPLICATE","UNIQUE"))</f>
        <v/>
      </c>
      <c r="W112" s="11" t="str">
        <f aca="false">IF(A112="","",IF(T112="Rejected","REJECTED",IF(AND(B112&lt;&gt;"",C112&lt;&gt;"",D112&lt;&gt;"",E112&lt;&gt;"",F112&lt;&gt;"",G112&lt;&gt;"",H112&lt;&gt;"",I112&lt;&gt;"",J112&lt;&gt;"",M112&lt;&gt;"",O112&lt;&gt;"",T112&lt;&gt;""),"COMPLETE","MISSING FIELDS")))</f>
        <v/>
      </c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 t="str">
        <f aca="false">IF(A113="","",IF(COUNTIF($A$5:$A$154,A113)&gt;1,"DUPLICATE","UNIQUE"))</f>
        <v/>
      </c>
      <c r="W113" s="11" t="str">
        <f aca="false">IF(A113="","",IF(T113="Rejected","REJECTED",IF(AND(B113&lt;&gt;"",C113&lt;&gt;"",D113&lt;&gt;"",E113&lt;&gt;"",F113&lt;&gt;"",G113&lt;&gt;"",H113&lt;&gt;"",I113&lt;&gt;"",J113&lt;&gt;"",M113&lt;&gt;"",O113&lt;&gt;"",T113&lt;&gt;""),"COMPLETE","MISSING FIELDS")))</f>
        <v/>
      </c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 t="str">
        <f aca="false">IF(A114="","",IF(COUNTIF($A$5:$A$154,A114)&gt;1,"DUPLICATE","UNIQUE"))</f>
        <v/>
      </c>
      <c r="W114" s="11" t="str">
        <f aca="false">IF(A114="","",IF(T114="Rejected","REJECTED",IF(AND(B114&lt;&gt;"",C114&lt;&gt;"",D114&lt;&gt;"",E114&lt;&gt;"",F114&lt;&gt;"",G114&lt;&gt;"",H114&lt;&gt;"",I114&lt;&gt;"",J114&lt;&gt;"",M114&lt;&gt;"",O114&lt;&gt;"",T114&lt;&gt;""),"COMPLETE","MISSING FIELDS")))</f>
        <v/>
      </c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 t="str">
        <f aca="false">IF(A115="","",IF(COUNTIF($A$5:$A$154,A115)&gt;1,"DUPLICATE","UNIQUE"))</f>
        <v/>
      </c>
      <c r="W115" s="11" t="str">
        <f aca="false">IF(A115="","",IF(T115="Rejected","REJECTED",IF(AND(B115&lt;&gt;"",C115&lt;&gt;"",D115&lt;&gt;"",E115&lt;&gt;"",F115&lt;&gt;"",G115&lt;&gt;"",H115&lt;&gt;"",I115&lt;&gt;"",J115&lt;&gt;"",M115&lt;&gt;"",O115&lt;&gt;"",T115&lt;&gt;""),"COMPLETE","MISSING FIELDS")))</f>
        <v/>
      </c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 t="str">
        <f aca="false">IF(A116="","",IF(COUNTIF($A$5:$A$154,A116)&gt;1,"DUPLICATE","UNIQUE"))</f>
        <v/>
      </c>
      <c r="W116" s="11" t="str">
        <f aca="false">IF(A116="","",IF(T116="Rejected","REJECTED",IF(AND(B116&lt;&gt;"",C116&lt;&gt;"",D116&lt;&gt;"",E116&lt;&gt;"",F116&lt;&gt;"",G116&lt;&gt;"",H116&lt;&gt;"",I116&lt;&gt;"",J116&lt;&gt;"",M116&lt;&gt;"",O116&lt;&gt;"",T116&lt;&gt;""),"COMPLETE","MISSING FIELDS")))</f>
        <v/>
      </c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 t="str">
        <f aca="false">IF(A117="","",IF(COUNTIF($A$5:$A$154,A117)&gt;1,"DUPLICATE","UNIQUE"))</f>
        <v/>
      </c>
      <c r="W117" s="11" t="str">
        <f aca="false">IF(A117="","",IF(T117="Rejected","REJECTED",IF(AND(B117&lt;&gt;"",C117&lt;&gt;"",D117&lt;&gt;"",E117&lt;&gt;"",F117&lt;&gt;"",G117&lt;&gt;"",H117&lt;&gt;"",I117&lt;&gt;"",J117&lt;&gt;"",M117&lt;&gt;"",O117&lt;&gt;"",T117&lt;&gt;""),"COMPLETE","MISSING FIELDS")))</f>
        <v/>
      </c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 t="str">
        <f aca="false">IF(A118="","",IF(COUNTIF($A$5:$A$154,A118)&gt;1,"DUPLICATE","UNIQUE"))</f>
        <v/>
      </c>
      <c r="W118" s="11" t="str">
        <f aca="false">IF(A118="","",IF(T118="Rejected","REJECTED",IF(AND(B118&lt;&gt;"",C118&lt;&gt;"",D118&lt;&gt;"",E118&lt;&gt;"",F118&lt;&gt;"",G118&lt;&gt;"",H118&lt;&gt;"",I118&lt;&gt;"",J118&lt;&gt;"",M118&lt;&gt;"",O118&lt;&gt;"",T118&lt;&gt;""),"COMPLETE","MISSING FIELDS")))</f>
        <v/>
      </c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 t="str">
        <f aca="false">IF(A119="","",IF(COUNTIF($A$5:$A$154,A119)&gt;1,"DUPLICATE","UNIQUE"))</f>
        <v/>
      </c>
      <c r="W119" s="11" t="str">
        <f aca="false">IF(A119="","",IF(T119="Rejected","REJECTED",IF(AND(B119&lt;&gt;"",C119&lt;&gt;"",D119&lt;&gt;"",E119&lt;&gt;"",F119&lt;&gt;"",G119&lt;&gt;"",H119&lt;&gt;"",I119&lt;&gt;"",J119&lt;&gt;"",M119&lt;&gt;"",O119&lt;&gt;"",T119&lt;&gt;""),"COMPLETE","MISSING FIELDS")))</f>
        <v/>
      </c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 t="str">
        <f aca="false">IF(A120="","",IF(COUNTIF($A$5:$A$154,A120)&gt;1,"DUPLICATE","UNIQUE"))</f>
        <v/>
      </c>
      <c r="W120" s="11" t="str">
        <f aca="false">IF(A120="","",IF(T120="Rejected","REJECTED",IF(AND(B120&lt;&gt;"",C120&lt;&gt;"",D120&lt;&gt;"",E120&lt;&gt;"",F120&lt;&gt;"",G120&lt;&gt;"",H120&lt;&gt;"",I120&lt;&gt;"",J120&lt;&gt;"",M120&lt;&gt;"",O120&lt;&gt;"",T120&lt;&gt;""),"COMPLETE","MISSING FIELDS")))</f>
        <v/>
      </c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 t="str">
        <f aca="false">IF(A121="","",IF(COUNTIF($A$5:$A$154,A121)&gt;1,"DUPLICATE","UNIQUE"))</f>
        <v/>
      </c>
      <c r="W121" s="11" t="str">
        <f aca="false">IF(A121="","",IF(T121="Rejected","REJECTED",IF(AND(B121&lt;&gt;"",C121&lt;&gt;"",D121&lt;&gt;"",E121&lt;&gt;"",F121&lt;&gt;"",G121&lt;&gt;"",H121&lt;&gt;"",I121&lt;&gt;"",J121&lt;&gt;"",M121&lt;&gt;"",O121&lt;&gt;"",T121&lt;&gt;""),"COMPLETE","MISSING FIELDS")))</f>
        <v/>
      </c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 t="str">
        <f aca="false">IF(A122="","",IF(COUNTIF($A$5:$A$154,A122)&gt;1,"DUPLICATE","UNIQUE"))</f>
        <v/>
      </c>
      <c r="W122" s="11" t="str">
        <f aca="false">IF(A122="","",IF(T122="Rejected","REJECTED",IF(AND(B122&lt;&gt;"",C122&lt;&gt;"",D122&lt;&gt;"",E122&lt;&gt;"",F122&lt;&gt;"",G122&lt;&gt;"",H122&lt;&gt;"",I122&lt;&gt;"",J122&lt;&gt;"",M122&lt;&gt;"",O122&lt;&gt;"",T122&lt;&gt;""),"COMPLETE","MISSING FIELDS")))</f>
        <v/>
      </c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 t="str">
        <f aca="false">IF(A123="","",IF(COUNTIF($A$5:$A$154,A123)&gt;1,"DUPLICATE","UNIQUE"))</f>
        <v/>
      </c>
      <c r="W123" s="11" t="str">
        <f aca="false">IF(A123="","",IF(T123="Rejected","REJECTED",IF(AND(B123&lt;&gt;"",C123&lt;&gt;"",D123&lt;&gt;"",E123&lt;&gt;"",F123&lt;&gt;"",G123&lt;&gt;"",H123&lt;&gt;"",I123&lt;&gt;"",J123&lt;&gt;"",M123&lt;&gt;"",O123&lt;&gt;"",T123&lt;&gt;""),"COMPLETE","MISSING FIELDS")))</f>
        <v/>
      </c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 t="str">
        <f aca="false">IF(A124="","",IF(COUNTIF($A$5:$A$154,A124)&gt;1,"DUPLICATE","UNIQUE"))</f>
        <v/>
      </c>
      <c r="W124" s="11" t="str">
        <f aca="false">IF(A124="","",IF(T124="Rejected","REJECTED",IF(AND(B124&lt;&gt;"",C124&lt;&gt;"",D124&lt;&gt;"",E124&lt;&gt;"",F124&lt;&gt;"",G124&lt;&gt;"",H124&lt;&gt;"",I124&lt;&gt;"",J124&lt;&gt;"",M124&lt;&gt;"",O124&lt;&gt;"",T124&lt;&gt;""),"COMPLETE","MISSING FIELDS")))</f>
        <v/>
      </c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 t="str">
        <f aca="false">IF(A125="","",IF(COUNTIF($A$5:$A$154,A125)&gt;1,"DUPLICATE","UNIQUE"))</f>
        <v/>
      </c>
      <c r="W125" s="11" t="str">
        <f aca="false">IF(A125="","",IF(T125="Rejected","REJECTED",IF(AND(B125&lt;&gt;"",C125&lt;&gt;"",D125&lt;&gt;"",E125&lt;&gt;"",F125&lt;&gt;"",G125&lt;&gt;"",H125&lt;&gt;"",I125&lt;&gt;"",J125&lt;&gt;"",M125&lt;&gt;"",O125&lt;&gt;"",T125&lt;&gt;""),"COMPLETE","MISSING FIELDS")))</f>
        <v/>
      </c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 t="str">
        <f aca="false">IF(A126="","",IF(COUNTIF($A$5:$A$154,A126)&gt;1,"DUPLICATE","UNIQUE"))</f>
        <v/>
      </c>
      <c r="W126" s="11" t="str">
        <f aca="false">IF(A126="","",IF(T126="Rejected","REJECTED",IF(AND(B126&lt;&gt;"",C126&lt;&gt;"",D126&lt;&gt;"",E126&lt;&gt;"",F126&lt;&gt;"",G126&lt;&gt;"",H126&lt;&gt;"",I126&lt;&gt;"",J126&lt;&gt;"",M126&lt;&gt;"",O126&lt;&gt;"",T126&lt;&gt;""),"COMPLETE","MISSING FIELDS")))</f>
        <v/>
      </c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 t="str">
        <f aca="false">IF(A127="","",IF(COUNTIF($A$5:$A$154,A127)&gt;1,"DUPLICATE","UNIQUE"))</f>
        <v/>
      </c>
      <c r="W127" s="11" t="str">
        <f aca="false">IF(A127="","",IF(T127="Rejected","REJECTED",IF(AND(B127&lt;&gt;"",C127&lt;&gt;"",D127&lt;&gt;"",E127&lt;&gt;"",F127&lt;&gt;"",G127&lt;&gt;"",H127&lt;&gt;"",I127&lt;&gt;"",J127&lt;&gt;"",M127&lt;&gt;"",O127&lt;&gt;"",T127&lt;&gt;""),"COMPLETE","MISSING FIELDS")))</f>
        <v/>
      </c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 t="str">
        <f aca="false">IF(A128="","",IF(COUNTIF($A$5:$A$154,A128)&gt;1,"DUPLICATE","UNIQUE"))</f>
        <v/>
      </c>
      <c r="W128" s="11" t="str">
        <f aca="false">IF(A128="","",IF(T128="Rejected","REJECTED",IF(AND(B128&lt;&gt;"",C128&lt;&gt;"",D128&lt;&gt;"",E128&lt;&gt;"",F128&lt;&gt;"",G128&lt;&gt;"",H128&lt;&gt;"",I128&lt;&gt;"",J128&lt;&gt;"",M128&lt;&gt;"",O128&lt;&gt;"",T128&lt;&gt;""),"COMPLETE","MISSING FIELDS")))</f>
        <v/>
      </c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 t="str">
        <f aca="false">IF(A129="","",IF(COUNTIF($A$5:$A$154,A129)&gt;1,"DUPLICATE","UNIQUE"))</f>
        <v/>
      </c>
      <c r="W129" s="11" t="str">
        <f aca="false">IF(A129="","",IF(T129="Rejected","REJECTED",IF(AND(B129&lt;&gt;"",C129&lt;&gt;"",D129&lt;&gt;"",E129&lt;&gt;"",F129&lt;&gt;"",G129&lt;&gt;"",H129&lt;&gt;"",I129&lt;&gt;"",J129&lt;&gt;"",M129&lt;&gt;"",O129&lt;&gt;"",T129&lt;&gt;""),"COMPLETE","MISSING FIELDS")))</f>
        <v/>
      </c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 t="str">
        <f aca="false">IF(A130="","",IF(COUNTIF($A$5:$A$154,A130)&gt;1,"DUPLICATE","UNIQUE"))</f>
        <v/>
      </c>
      <c r="W130" s="11" t="str">
        <f aca="false">IF(A130="","",IF(T130="Rejected","REJECTED",IF(AND(B130&lt;&gt;"",C130&lt;&gt;"",D130&lt;&gt;"",E130&lt;&gt;"",F130&lt;&gt;"",G130&lt;&gt;"",H130&lt;&gt;"",I130&lt;&gt;"",J130&lt;&gt;"",M130&lt;&gt;"",O130&lt;&gt;"",T130&lt;&gt;""),"COMPLETE","MISSING FIELDS")))</f>
        <v/>
      </c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 t="str">
        <f aca="false">IF(A131="","",IF(COUNTIF($A$5:$A$154,A131)&gt;1,"DUPLICATE","UNIQUE"))</f>
        <v/>
      </c>
      <c r="W131" s="11" t="str">
        <f aca="false">IF(A131="","",IF(T131="Rejected","REJECTED",IF(AND(B131&lt;&gt;"",C131&lt;&gt;"",D131&lt;&gt;"",E131&lt;&gt;"",F131&lt;&gt;"",G131&lt;&gt;"",H131&lt;&gt;"",I131&lt;&gt;"",J131&lt;&gt;"",M131&lt;&gt;"",O131&lt;&gt;"",T131&lt;&gt;""),"COMPLETE","MISSING FIELDS")))</f>
        <v/>
      </c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 t="str">
        <f aca="false">IF(A132="","",IF(COUNTIF($A$5:$A$154,A132)&gt;1,"DUPLICATE","UNIQUE"))</f>
        <v/>
      </c>
      <c r="W132" s="11" t="str">
        <f aca="false">IF(A132="","",IF(T132="Rejected","REJECTED",IF(AND(B132&lt;&gt;"",C132&lt;&gt;"",D132&lt;&gt;"",E132&lt;&gt;"",F132&lt;&gt;"",G132&lt;&gt;"",H132&lt;&gt;"",I132&lt;&gt;"",J132&lt;&gt;"",M132&lt;&gt;"",O132&lt;&gt;"",T132&lt;&gt;""),"COMPLETE","MISSING FIELDS")))</f>
        <v/>
      </c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 t="str">
        <f aca="false">IF(A133="","",IF(COUNTIF($A$5:$A$154,A133)&gt;1,"DUPLICATE","UNIQUE"))</f>
        <v/>
      </c>
      <c r="W133" s="11" t="str">
        <f aca="false">IF(A133="","",IF(T133="Rejected","REJECTED",IF(AND(B133&lt;&gt;"",C133&lt;&gt;"",D133&lt;&gt;"",E133&lt;&gt;"",F133&lt;&gt;"",G133&lt;&gt;"",H133&lt;&gt;"",I133&lt;&gt;"",J133&lt;&gt;"",M133&lt;&gt;"",O133&lt;&gt;"",T133&lt;&gt;""),"COMPLETE","MISSING FIELDS")))</f>
        <v/>
      </c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 t="str">
        <f aca="false">IF(A134="","",IF(COUNTIF($A$5:$A$154,A134)&gt;1,"DUPLICATE","UNIQUE"))</f>
        <v/>
      </c>
      <c r="W134" s="11" t="str">
        <f aca="false">IF(A134="","",IF(T134="Rejected","REJECTED",IF(AND(B134&lt;&gt;"",C134&lt;&gt;"",D134&lt;&gt;"",E134&lt;&gt;"",F134&lt;&gt;"",G134&lt;&gt;"",H134&lt;&gt;"",I134&lt;&gt;"",J134&lt;&gt;"",M134&lt;&gt;"",O134&lt;&gt;"",T134&lt;&gt;""),"COMPLETE","MISSING FIELDS")))</f>
        <v/>
      </c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 t="str">
        <f aca="false">IF(A135="","",IF(COUNTIF($A$5:$A$154,A135)&gt;1,"DUPLICATE","UNIQUE"))</f>
        <v/>
      </c>
      <c r="W135" s="11" t="str">
        <f aca="false">IF(A135="","",IF(T135="Rejected","REJECTED",IF(AND(B135&lt;&gt;"",C135&lt;&gt;"",D135&lt;&gt;"",E135&lt;&gt;"",F135&lt;&gt;"",G135&lt;&gt;"",H135&lt;&gt;"",I135&lt;&gt;"",J135&lt;&gt;"",M135&lt;&gt;"",O135&lt;&gt;"",T135&lt;&gt;""),"COMPLETE","MISSING FIELDS")))</f>
        <v/>
      </c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 t="str">
        <f aca="false">IF(A136="","",IF(COUNTIF($A$5:$A$154,A136)&gt;1,"DUPLICATE","UNIQUE"))</f>
        <v/>
      </c>
      <c r="W136" s="11" t="str">
        <f aca="false">IF(A136="","",IF(T136="Rejected","REJECTED",IF(AND(B136&lt;&gt;"",C136&lt;&gt;"",D136&lt;&gt;"",E136&lt;&gt;"",F136&lt;&gt;"",G136&lt;&gt;"",H136&lt;&gt;"",I136&lt;&gt;"",J136&lt;&gt;"",M136&lt;&gt;"",O136&lt;&gt;"",T136&lt;&gt;""),"COMPLETE","MISSING FIELDS")))</f>
        <v/>
      </c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 t="str">
        <f aca="false">IF(A137="","",IF(COUNTIF($A$5:$A$154,A137)&gt;1,"DUPLICATE","UNIQUE"))</f>
        <v/>
      </c>
      <c r="W137" s="11" t="str">
        <f aca="false">IF(A137="","",IF(T137="Rejected","REJECTED",IF(AND(B137&lt;&gt;"",C137&lt;&gt;"",D137&lt;&gt;"",E137&lt;&gt;"",F137&lt;&gt;"",G137&lt;&gt;"",H137&lt;&gt;"",I137&lt;&gt;"",J137&lt;&gt;"",M137&lt;&gt;"",O137&lt;&gt;"",T137&lt;&gt;""),"COMPLETE","MISSING FIELDS")))</f>
        <v/>
      </c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 t="str">
        <f aca="false">IF(A138="","",IF(COUNTIF($A$5:$A$154,A138)&gt;1,"DUPLICATE","UNIQUE"))</f>
        <v/>
      </c>
      <c r="W138" s="11" t="str">
        <f aca="false">IF(A138="","",IF(T138="Rejected","REJECTED",IF(AND(B138&lt;&gt;"",C138&lt;&gt;"",D138&lt;&gt;"",E138&lt;&gt;"",F138&lt;&gt;"",G138&lt;&gt;"",H138&lt;&gt;"",I138&lt;&gt;"",J138&lt;&gt;"",M138&lt;&gt;"",O138&lt;&gt;"",T138&lt;&gt;""),"COMPLETE","MISSING FIELDS")))</f>
        <v/>
      </c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 t="str">
        <f aca="false">IF(A139="","",IF(COUNTIF($A$5:$A$154,A139)&gt;1,"DUPLICATE","UNIQUE"))</f>
        <v/>
      </c>
      <c r="W139" s="11" t="str">
        <f aca="false">IF(A139="","",IF(T139="Rejected","REJECTED",IF(AND(B139&lt;&gt;"",C139&lt;&gt;"",D139&lt;&gt;"",E139&lt;&gt;"",F139&lt;&gt;"",G139&lt;&gt;"",H139&lt;&gt;"",I139&lt;&gt;"",J139&lt;&gt;"",M139&lt;&gt;"",O139&lt;&gt;"",T139&lt;&gt;""),"COMPLETE","MISSING FIELDS")))</f>
        <v/>
      </c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 t="str">
        <f aca="false">IF(A140="","",IF(COUNTIF($A$5:$A$154,A140)&gt;1,"DUPLICATE","UNIQUE"))</f>
        <v/>
      </c>
      <c r="W140" s="11" t="str">
        <f aca="false">IF(A140="","",IF(T140="Rejected","REJECTED",IF(AND(B140&lt;&gt;"",C140&lt;&gt;"",D140&lt;&gt;"",E140&lt;&gt;"",F140&lt;&gt;"",G140&lt;&gt;"",H140&lt;&gt;"",I140&lt;&gt;"",J140&lt;&gt;"",M140&lt;&gt;"",O140&lt;&gt;"",T140&lt;&gt;""),"COMPLETE","MISSING FIELDS")))</f>
        <v/>
      </c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 t="str">
        <f aca="false">IF(A141="","",IF(COUNTIF($A$5:$A$154,A141)&gt;1,"DUPLICATE","UNIQUE"))</f>
        <v/>
      </c>
      <c r="W141" s="11" t="str">
        <f aca="false">IF(A141="","",IF(T141="Rejected","REJECTED",IF(AND(B141&lt;&gt;"",C141&lt;&gt;"",D141&lt;&gt;"",E141&lt;&gt;"",F141&lt;&gt;"",G141&lt;&gt;"",H141&lt;&gt;"",I141&lt;&gt;"",J141&lt;&gt;"",M141&lt;&gt;"",O141&lt;&gt;"",T141&lt;&gt;""),"COMPLETE","MISSING FIELDS")))</f>
        <v/>
      </c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 t="str">
        <f aca="false">IF(A142="","",IF(COUNTIF($A$5:$A$154,A142)&gt;1,"DUPLICATE","UNIQUE"))</f>
        <v/>
      </c>
      <c r="W142" s="11" t="str">
        <f aca="false">IF(A142="","",IF(T142="Rejected","REJECTED",IF(AND(B142&lt;&gt;"",C142&lt;&gt;"",D142&lt;&gt;"",E142&lt;&gt;"",F142&lt;&gt;"",G142&lt;&gt;"",H142&lt;&gt;"",I142&lt;&gt;"",J142&lt;&gt;"",M142&lt;&gt;"",O142&lt;&gt;"",T142&lt;&gt;""),"COMPLETE","MISSING FIELDS")))</f>
        <v/>
      </c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 t="str">
        <f aca="false">IF(A143="","",IF(COUNTIF($A$5:$A$154,A143)&gt;1,"DUPLICATE","UNIQUE"))</f>
        <v/>
      </c>
      <c r="W143" s="11" t="str">
        <f aca="false">IF(A143="","",IF(T143="Rejected","REJECTED",IF(AND(B143&lt;&gt;"",C143&lt;&gt;"",D143&lt;&gt;"",E143&lt;&gt;"",F143&lt;&gt;"",G143&lt;&gt;"",H143&lt;&gt;"",I143&lt;&gt;"",J143&lt;&gt;"",M143&lt;&gt;"",O143&lt;&gt;"",T143&lt;&gt;""),"COMPLETE","MISSING FIELDS")))</f>
        <v/>
      </c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 t="str">
        <f aca="false">IF(A144="","",IF(COUNTIF($A$5:$A$154,A144)&gt;1,"DUPLICATE","UNIQUE"))</f>
        <v/>
      </c>
      <c r="W144" s="11" t="str">
        <f aca="false">IF(A144="","",IF(T144="Rejected","REJECTED",IF(AND(B144&lt;&gt;"",C144&lt;&gt;"",D144&lt;&gt;"",E144&lt;&gt;"",F144&lt;&gt;"",G144&lt;&gt;"",H144&lt;&gt;"",I144&lt;&gt;"",J144&lt;&gt;"",M144&lt;&gt;"",O144&lt;&gt;"",T144&lt;&gt;""),"COMPLETE","MISSING FIELDS")))</f>
        <v/>
      </c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 t="str">
        <f aca="false">IF(A145="","",IF(COUNTIF($A$5:$A$154,A145)&gt;1,"DUPLICATE","UNIQUE"))</f>
        <v/>
      </c>
      <c r="W145" s="11" t="str">
        <f aca="false">IF(A145="","",IF(T145="Rejected","REJECTED",IF(AND(B145&lt;&gt;"",C145&lt;&gt;"",D145&lt;&gt;"",E145&lt;&gt;"",F145&lt;&gt;"",G145&lt;&gt;"",H145&lt;&gt;"",I145&lt;&gt;"",J145&lt;&gt;"",M145&lt;&gt;"",O145&lt;&gt;"",T145&lt;&gt;""),"COMPLETE","MISSING FIELDS")))</f>
        <v/>
      </c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 t="str">
        <f aca="false">IF(A146="","",IF(COUNTIF($A$5:$A$154,A146)&gt;1,"DUPLICATE","UNIQUE"))</f>
        <v/>
      </c>
      <c r="W146" s="11" t="str">
        <f aca="false">IF(A146="","",IF(T146="Rejected","REJECTED",IF(AND(B146&lt;&gt;"",C146&lt;&gt;"",D146&lt;&gt;"",E146&lt;&gt;"",F146&lt;&gt;"",G146&lt;&gt;"",H146&lt;&gt;"",I146&lt;&gt;"",J146&lt;&gt;"",M146&lt;&gt;"",O146&lt;&gt;"",T146&lt;&gt;""),"COMPLETE","MISSING FIELDS")))</f>
        <v/>
      </c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 t="str">
        <f aca="false">IF(A147="","",IF(COUNTIF($A$5:$A$154,A147)&gt;1,"DUPLICATE","UNIQUE"))</f>
        <v/>
      </c>
      <c r="W147" s="11" t="str">
        <f aca="false">IF(A147="","",IF(T147="Rejected","REJECTED",IF(AND(B147&lt;&gt;"",C147&lt;&gt;"",D147&lt;&gt;"",E147&lt;&gt;"",F147&lt;&gt;"",G147&lt;&gt;"",H147&lt;&gt;"",I147&lt;&gt;"",J147&lt;&gt;"",M147&lt;&gt;"",O147&lt;&gt;"",T147&lt;&gt;""),"COMPLETE","MISSING FIELDS")))</f>
        <v/>
      </c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 t="str">
        <f aca="false">IF(A148="","",IF(COUNTIF($A$5:$A$154,A148)&gt;1,"DUPLICATE","UNIQUE"))</f>
        <v/>
      </c>
      <c r="W148" s="11" t="str">
        <f aca="false">IF(A148="","",IF(T148="Rejected","REJECTED",IF(AND(B148&lt;&gt;"",C148&lt;&gt;"",D148&lt;&gt;"",E148&lt;&gt;"",F148&lt;&gt;"",G148&lt;&gt;"",H148&lt;&gt;"",I148&lt;&gt;"",J148&lt;&gt;"",M148&lt;&gt;"",O148&lt;&gt;"",T148&lt;&gt;""),"COMPLETE","MISSING FIELDS")))</f>
        <v/>
      </c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 t="str">
        <f aca="false">IF(A149="","",IF(COUNTIF($A$5:$A$154,A149)&gt;1,"DUPLICATE","UNIQUE"))</f>
        <v/>
      </c>
      <c r="W149" s="11" t="str">
        <f aca="false">IF(A149="","",IF(T149="Rejected","REJECTED",IF(AND(B149&lt;&gt;"",C149&lt;&gt;"",D149&lt;&gt;"",E149&lt;&gt;"",F149&lt;&gt;"",G149&lt;&gt;"",H149&lt;&gt;"",I149&lt;&gt;"",J149&lt;&gt;"",M149&lt;&gt;"",O149&lt;&gt;"",T149&lt;&gt;""),"COMPLETE","MISSING FIELDS")))</f>
        <v/>
      </c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 t="str">
        <f aca="false">IF(A150="","",IF(COUNTIF($A$5:$A$154,A150)&gt;1,"DUPLICATE","UNIQUE"))</f>
        <v/>
      </c>
      <c r="W150" s="11" t="str">
        <f aca="false">IF(A150="","",IF(T150="Rejected","REJECTED",IF(AND(B150&lt;&gt;"",C150&lt;&gt;"",D150&lt;&gt;"",E150&lt;&gt;"",F150&lt;&gt;"",G150&lt;&gt;"",H150&lt;&gt;"",I150&lt;&gt;"",J150&lt;&gt;"",M150&lt;&gt;"",O150&lt;&gt;"",T150&lt;&gt;""),"COMPLETE","MISSING FIELDS")))</f>
        <v/>
      </c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 t="str">
        <f aca="false">IF(A151="","",IF(COUNTIF($A$5:$A$154,A151)&gt;1,"DUPLICATE","UNIQUE"))</f>
        <v/>
      </c>
      <c r="W151" s="11" t="str">
        <f aca="false">IF(A151="","",IF(T151="Rejected","REJECTED",IF(AND(B151&lt;&gt;"",C151&lt;&gt;"",D151&lt;&gt;"",E151&lt;&gt;"",F151&lt;&gt;"",G151&lt;&gt;"",H151&lt;&gt;"",I151&lt;&gt;"",J151&lt;&gt;"",M151&lt;&gt;"",O151&lt;&gt;"",T151&lt;&gt;""),"COMPLETE","MISSING FIELDS")))</f>
        <v/>
      </c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 t="str">
        <f aca="false">IF(A152="","",IF(COUNTIF($A$5:$A$154,A152)&gt;1,"DUPLICATE","UNIQUE"))</f>
        <v/>
      </c>
      <c r="W152" s="11" t="str">
        <f aca="false">IF(A152="","",IF(T152="Rejected","REJECTED",IF(AND(B152&lt;&gt;"",C152&lt;&gt;"",D152&lt;&gt;"",E152&lt;&gt;"",F152&lt;&gt;"",G152&lt;&gt;"",H152&lt;&gt;"",I152&lt;&gt;"",J152&lt;&gt;"",M152&lt;&gt;"",O152&lt;&gt;"",T152&lt;&gt;""),"COMPLETE","MISSING FIELDS")))</f>
        <v/>
      </c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 t="str">
        <f aca="false">IF(A153="","",IF(COUNTIF($A$5:$A$154,A153)&gt;1,"DUPLICATE","UNIQUE"))</f>
        <v/>
      </c>
      <c r="W153" s="11" t="str">
        <f aca="false">IF(A153="","",IF(T153="Rejected","REJECTED",IF(AND(B153&lt;&gt;"",C153&lt;&gt;"",D153&lt;&gt;"",E153&lt;&gt;"",F153&lt;&gt;"",G153&lt;&gt;"",H153&lt;&gt;"",I153&lt;&gt;"",J153&lt;&gt;"",M153&lt;&gt;"",O153&lt;&gt;"",T153&lt;&gt;""),"COMPLETE","MISSING FIELDS")))</f>
        <v/>
      </c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 t="str">
        <f aca="false">IF(A154="","",IF(COUNTIF($A$5:$A$154,A154)&gt;1,"DUPLICATE","UNIQUE"))</f>
        <v/>
      </c>
      <c r="W154" s="11" t="str">
        <f aca="false">IF(A154="","",IF(T154="Rejected","REJECTED",IF(AND(B154&lt;&gt;"",C154&lt;&gt;"",D154&lt;&gt;"",E154&lt;&gt;"",F154&lt;&gt;"",G154&lt;&gt;"",H154&lt;&gt;"",I154&lt;&gt;"",J154&lt;&gt;"",M154&lt;&gt;"",O154&lt;&gt;"",T154&lt;&gt;""),"COMPLETE","MISSING FIELDS")))</f>
        <v/>
      </c>
    </row>
  </sheetData>
  <mergeCells count="2">
    <mergeCell ref="A1:W1"/>
    <mergeCell ref="A2:W2"/>
  </mergeCells>
  <conditionalFormatting sqref="V5:W154">
    <cfRule type="expression" priority="2" aboveAverage="0" equalAverage="0" bottom="0" percent="0" rank="0" text="" dxfId="0">
      <formula>OR(V5="DUPLICATE",W5="MISSING FIELDS",W5="ADD REASON")</formula>
    </cfRule>
  </conditionalFormatting>
  <dataValidations count="5">
    <dataValidation allowBlank="true" errorStyle="stop" operator="between" showDropDown="false" showErrorMessage="false" showInputMessage="false" sqref="B5:B154" type="list">
      <formula1>"LinkedIn,Instagram,YouTube Shorts,TikTok,X,Threads,Facebook,Reddit"</formula1>
      <formula2>0</formula2>
    </dataValidation>
    <dataValidation allowBlank="true" errorStyle="stop" operator="between" showDropDown="false" showErrorMessage="false" showInputMessage="false" sqref="C5:C154" type="list">
      <formula1>"Short video,Carousel,Graphic,Text post,Thread,Long video"</formula1>
      <formula2>0</formula2>
    </dataValidation>
    <dataValidation allowBlank="true" errorStyle="stop" operator="between" showDropDown="false" showErrorMessage="false" showInputMessage="false" sqref="M5:M154" type="list">
      <formula1>"Yes,No"</formula1>
      <formula2>0</formula2>
    </dataValidation>
    <dataValidation allowBlank="true" errorStyle="stop" operator="between" showDropDown="false" showErrorMessage="false" showInputMessage="false" sqref="N5:N154" type="list">
      <formula1>"Yes,No"</formula1>
      <formula2>0</formula2>
    </dataValidation>
    <dataValidation allowBlank="true" errorStyle="stop" operator="between" showDropDown="false" showErrorMessage="false" showInputMessage="false" sqref="T5:T154" type="list">
      <formula1>"Ready,Draft"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7" min="4" style="0" width="14"/>
    <col collapsed="false" customWidth="true" hidden="false" outlineLevel="0" max="8" min="8" style="0" width="30"/>
  </cols>
  <sheetData>
    <row r="1" customFormat="false" ht="24" hidden="false" customHeight="true" outlineLevel="0" collapsed="false">
      <c r="A1" s="1" t="s">
        <v>73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74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75</v>
      </c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4" t="s">
        <v>76</v>
      </c>
      <c r="B5" s="4" t="s">
        <v>77</v>
      </c>
      <c r="C5" s="4" t="s">
        <v>78</v>
      </c>
      <c r="D5" s="4"/>
      <c r="E5" s="4"/>
      <c r="F5" s="4"/>
      <c r="G5" s="4"/>
      <c r="H5" s="4" t="s">
        <v>79</v>
      </c>
    </row>
    <row r="6" customFormat="false" ht="15" hidden="false" customHeight="false" outlineLevel="0" collapsed="false">
      <c r="A6" s="7" t="s">
        <v>80</v>
      </c>
      <c r="B6" s="6" t="inlineStr">
        <is>
          <t>Yes</t>
        </is>
      </c>
      <c r="C6" s="6" t="inlineStr">
        <is>
          <t>README.md#quick-start</t>
        </is>
      </c>
      <c r="H6" s="6" t="inlineStr">
        <is>
          <t>python -m engine.cli run --input ...</t>
        </is>
      </c>
    </row>
    <row r="7" customFormat="false" ht="15" hidden="false" customHeight="false" outlineLevel="0" collapsed="false">
      <c r="A7" s="7" t="s">
        <v>81</v>
      </c>
      <c r="B7" s="6" t="inlineStr">
        <is>
          <t>Yes</t>
        </is>
      </c>
      <c r="C7" s="6" t="inlineStr">
        <is>
          <t>README.md</t>
        </is>
      </c>
      <c r="H7" s="6" t="inlineStr">
        <is>
          <t>Zero external database or cloud dependencies; base Python 3.11</t>
        </is>
      </c>
    </row>
    <row r="8" customFormat="false" ht="15" hidden="false" customHeight="false" outlineLevel="0" collapsed="false">
      <c r="A8" s="7" t="s">
        <v>82</v>
      </c>
      <c r="B8" s="6" t="inlineStr">
        <is>
          <t>Yes</t>
        </is>
      </c>
      <c r="C8" s="6" t="inlineStr">
        <is>
          <t>engine/deduplicator.py</t>
        </is>
      </c>
      <c r="H8" s="6" t="inlineStr">
        <is>
          <t>SHA-256 content hashing engine ensures idempotency</t>
        </is>
      </c>
    </row>
    <row r="9" customFormat="false" ht="15" hidden="false" customHeight="false" outlineLevel="0" collapsed="false">
      <c r="A9" s="7" t="s">
        <v>83</v>
      </c>
      <c r="B9" s="6" t="inlineStr">
        <is>
          <t>Yes</t>
        </is>
      </c>
      <c r="C9" s="6" t="inlineStr">
        <is>
          <t>engine/guardrails.py</t>
        </is>
      </c>
      <c r="H9" s="6" t="inlineStr">
        <is>
          <t>Banned words blacklist, hook length check, UTM validator</t>
        </is>
      </c>
    </row>
    <row r="10" customFormat="false" ht="15" hidden="false" customHeight="false" outlineLevel="0" collapsed="false">
      <c r="A10" s="7" t="s">
        <v>84</v>
      </c>
      <c r="B10" s="6" t="inlineStr">
        <is>
          <t>Yes</t>
        </is>
      </c>
      <c r="C10" s="6" t="inlineStr">
        <is>
          <t>dist/calendar.csv</t>
        </is>
      </c>
      <c r="H10" s="6" t="inlineStr">
        <is>
          <t>Matches exact official submission schema</t>
        </is>
      </c>
    </row>
    <row r="11" customFormat="false" ht="23.85" hidden="false" customHeight="false" outlineLevel="0" collapsed="false">
      <c r="A11" s="7" t="s">
        <v>85</v>
      </c>
      <c r="B11" s="6" t="inlineStr">
        <is>
          <t>Yes</t>
        </is>
      </c>
      <c r="C11" s="6" t="inlineStr">
        <is>
          <t>engine/cli.py</t>
        </is>
      </c>
      <c r="H11" s="6" t="inlineStr">
        <is>
          <t>python -m engine.cli refresh command resets and re-indexes</t>
        </is>
      </c>
    </row>
    <row r="12" customFormat="false" ht="15" hidden="false" customHeight="false" outlineLevel="0" collapsed="false">
      <c r="A12" s="7" t="s">
        <v>86</v>
      </c>
      <c r="B12" s="6" t="inlineStr">
        <is>
          <t>Yes</t>
        </is>
      </c>
      <c r="C12" s="6" t="inlineStr">
        <is>
          <t>engine/guardrails.py</t>
        </is>
      </c>
      <c r="H12" s="6" t="inlineStr">
        <is>
          <t>Auto-sanitizer replaces hype words; manifest.json logs errors</t>
        </is>
      </c>
    </row>
    <row r="13" customFormat="false" ht="15" hidden="false" customHeight="false" outlineLevel="0" collapsed="false">
      <c r="A13" s="7" t="s">
        <v>87</v>
      </c>
      <c r="B13" s="6" t="inlineStr">
        <is>
          <t>Yes</t>
        </is>
      </c>
      <c r="C13" s="6" t="inlineStr">
        <is>
          <t>tests/test_engine.py</t>
        </is>
      </c>
      <c r="H13" s="6" t="inlineStr">
        <is>
          <t>11 unit and integration tests pass in 0.16s via pytest</t>
        </is>
      </c>
    </row>
    <row r="14" customFormat="false" ht="15" hidden="false" customHeight="false" outlineLevel="0" collapsed="false">
      <c r="A14" s="7" t="s">
        <v>88</v>
      </c>
      <c r="B14" s="6" t="inlineStr">
        <is>
          <t>Yes</t>
        </is>
      </c>
      <c r="C14" s="6" t="inlineStr">
        <is>
          <t>engine_config.json</t>
        </is>
      </c>
      <c r="H14" s="6" t="inlineStr">
        <is>
          <t>No passwords, tokens, or secret keys committed</t>
        </is>
      </c>
    </row>
    <row r="16" customFormat="false" ht="15" hidden="false" customHeight="true" outlineLevel="0" collapsed="false">
      <c r="A16" s="3" t="s">
        <v>89</v>
      </c>
      <c r="B16" s="3"/>
      <c r="C16" s="3"/>
      <c r="D16" s="3"/>
      <c r="E16" s="3"/>
      <c r="F16" s="3"/>
      <c r="G16" s="3"/>
      <c r="H16" s="3"/>
    </row>
    <row r="17" customFormat="false" ht="30" hidden="false" customHeight="true" outlineLevel="0" collapsed="false">
      <c r="A17" s="4" t="s">
        <v>90</v>
      </c>
      <c r="B17" s="4" t="s">
        <v>91</v>
      </c>
      <c r="C17" s="4" t="s">
        <v>92</v>
      </c>
      <c r="D17" s="4" t="s">
        <v>93</v>
      </c>
      <c r="E17" s="4" t="s">
        <v>94</v>
      </c>
      <c r="F17" s="4" t="s">
        <v>95</v>
      </c>
      <c r="G17" s="4" t="s">
        <v>96</v>
      </c>
      <c r="H17" s="4" t="s">
        <v>97</v>
      </c>
    </row>
    <row r="18" customFormat="false" ht="15" hidden="false" customHeight="false" outlineLevel="0" collapsed="false">
      <c r="A18" s="5" t="s">
        <v>98</v>
      </c>
      <c r="B18" s="6" t="inlineStr">
        <is>
          <t>677 words</t>
        </is>
      </c>
      <c r="C18" s="6">
        <v>14</v>
      </c>
      <c r="D18" s="6">
        <v>0</v>
      </c>
      <c r="E18" s="6">
        <v>0</v>
      </c>
      <c r="F18" s="6" t="inlineStr">
        <is>
          <t>0.01</t>
        </is>
      </c>
      <c r="G18" s="6"/>
      <c r="H18" s="6"/>
    </row>
    <row r="19" customFormat="false" ht="15" hidden="false" customHeight="false" outlineLevel="0" collapsed="false">
      <c r="A19" s="5" t="s">
        <v>99</v>
      </c>
      <c r="B19" s="6" t="inlineStr">
        <is>
          <t>677 words</t>
        </is>
      </c>
      <c r="C19" s="6">
        <v>14</v>
      </c>
      <c r="D19" s="6">
        <v>0</v>
      </c>
      <c r="E19" s="6">
        <v>14</v>
      </c>
      <c r="F19" s="6" t="inlineStr">
        <is>
          <t>0.01</t>
        </is>
      </c>
      <c r="G19" s="6"/>
      <c r="H19" s="6"/>
    </row>
    <row r="20" customFormat="false" ht="15" hidden="false" customHeight="false" outlineLevel="0" collapsed="false">
      <c r="A20" s="5" t="s">
        <v>100</v>
      </c>
      <c r="B20" s="6" t="inlineStr">
        <is>
          <t>677 words</t>
        </is>
      </c>
      <c r="C20" s="6">
        <v>14</v>
      </c>
      <c r="D20" s="6">
        <v>0</v>
      </c>
      <c r="E20" s="6">
        <v>0</v>
      </c>
      <c r="F20" s="6" t="inlineStr">
        <is>
          <t>0.01</t>
        </is>
      </c>
      <c r="G20" s="6"/>
      <c r="H20" s="6"/>
    </row>
    <row r="21" customFormat="false" ht="15" hidden="false" customHeight="false" outlineLevel="0" collapsed="false">
      <c r="A21" s="5" t="s">
        <v>101</v>
      </c>
      <c r="B21" s="6" t="inlineStr">
        <is>
          <t>800 words</t>
        </is>
      </c>
      <c r="C21" s="6">
        <v>14</v>
      </c>
      <c r="D21" s="6">
        <v>0</v>
      </c>
      <c r="E21" s="6">
        <v>0</v>
      </c>
      <c r="F21" s="6" t="inlineStr">
        <is>
          <t>0.01</t>
        </is>
      </c>
      <c r="G21" s="6"/>
      <c r="H21" s="6"/>
    </row>
    <row r="23" customFormat="false" ht="15" hidden="false" customHeight="true" outlineLevel="0" collapsed="false">
      <c r="A23" s="3" t="s">
        <v>102</v>
      </c>
      <c r="B23" s="3"/>
      <c r="C23" s="3"/>
      <c r="D23" s="3"/>
      <c r="E23" s="3"/>
      <c r="F23" s="3"/>
      <c r="G23" s="3"/>
      <c r="H23" s="3"/>
    </row>
    <row r="24" customFormat="false" ht="30" hidden="false" customHeight="true" outlineLevel="0" collapsed="false">
      <c r="A24" s="5" t="s">
        <v>103</v>
      </c>
      <c r="B24" s="6" t="inlineStr">
        <is>
          <t>B2B Podcasters, Solo YouTube Creators, and Freelance Video Editors managing 3-6 client shows in US, UK, SG, AU, CA, NZ.</t>
        </is>
      </c>
      <c r="C24" s="6"/>
      <c r="D24" s="6"/>
      <c r="E24" s="6"/>
      <c r="F24" s="6"/>
      <c r="G24" s="6"/>
      <c r="H24" s="6"/>
    </row>
    <row r="25" customFormat="false" ht="30" hidden="false" customHeight="true" outlineLevel="0" collapsed="false">
      <c r="A25" s="5" t="s">
        <v>104</v>
      </c>
      <c r="B25" s="6" t="inlineStr">
        <is>
          <t>LinkedIn (high-LTV B2B buyers), YouTube Shorts (high-intent UI search), X (viral creator discussions).</t>
        </is>
      </c>
      <c r="C25" s="6"/>
      <c r="D25" s="6"/>
      <c r="E25" s="6"/>
      <c r="F25" s="6"/>
      <c r="G25" s="6"/>
      <c r="H25" s="6"/>
    </row>
    <row r="26" customFormat="false" ht="30" hidden="false" customHeight="true" outlineLevel="0" collapsed="false">
      <c r="A26" s="5" t="s">
        <v>105</v>
      </c>
      <c r="B26" s="6" t="inlineStr">
        <is>
          <t>Growth Engineer deploys INC-C01 and INC-P01 on Monday 08:30 EST via Buffer; 14 assets queued for Week 1.</t>
        </is>
      </c>
      <c r="C26" s="6"/>
      <c r="D26" s="6"/>
      <c r="E26" s="6"/>
      <c r="F26" s="6"/>
      <c r="G26" s="6"/>
      <c r="H26" s="6"/>
    </row>
    <row r="27" customFormat="false" ht="30" hidden="false" customHeight="true" outlineLevel="0" collapsed="false">
      <c r="A27" s="5" t="s">
        <v>106</v>
      </c>
      <c r="B27" s="6" t="inlineStr">
        <is>
          <t>Weeks 2-4: Rollout of Video Shorts, Case Studies, Retention Teardowns; daily 30-min SOP.</t>
        </is>
      </c>
      <c r="C27" s="6"/>
      <c r="D27" s="6"/>
      <c r="E27" s="6"/>
      <c r="F27" s="6"/>
      <c r="G27" s="6"/>
      <c r="H27" s="6"/>
    </row>
    <row r="28" customFormat="false" ht="30" hidden="false" customHeight="true" outlineLevel="0" collapsed="false">
      <c r="A28" s="5" t="s">
        <v>107</v>
      </c>
      <c r="B28" s="6" t="inlineStr">
        <is>
          <t>In-House Engine ($0) + Buffer ($18) + Figma ($15) = $33 / month total software overhead.</t>
        </is>
      </c>
      <c r="C28" s="6"/>
      <c r="D28" s="6"/>
      <c r="E28" s="6"/>
      <c r="F28" s="6"/>
      <c r="G28" s="6"/>
      <c r="H28" s="6"/>
    </row>
    <row r="29" customFormat="false" ht="30" hidden="false" customHeight="true" outlineLevel="0" collapsed="false">
      <c r="A29" s="5" t="s">
        <v>108</v>
      </c>
      <c r="B29" s="6" t="inlineStr">
        <is>
          <t>85,000 impressions, 4.8% engagement rate, 2,380 clicks, 362 free sign-ups, $899 added MRR.</t>
        </is>
      </c>
      <c r="C29" s="6"/>
      <c r="D29" s="6"/>
      <c r="E29" s="6"/>
      <c r="F29" s="6"/>
      <c r="G29" s="6"/>
      <c r="H29" s="6"/>
    </row>
    <row r="30" customFormat="false" ht="30" hidden="false" customHeight="true" outlineLevel="0" collapsed="false">
      <c r="A30" s="5" t="s">
        <v>109</v>
      </c>
      <c r="B30" s="6" t="inlineStr">
        <is>
          <t>Social API token expiration -&gt; Automated ping checker alerts team 72 hours prior to expiration.</t>
        </is>
      </c>
      <c r="C30" s="6"/>
      <c r="D30" s="6"/>
      <c r="E30" s="6"/>
      <c r="F30" s="6"/>
      <c r="G30" s="6"/>
      <c r="H30" s="6"/>
    </row>
    <row r="31" customFormat="false" ht="30" hidden="false" customHeight="true" outlineLevel="0" collapsed="false">
      <c r="A31" s="5" t="s">
        <v>110</v>
      </c>
      <c r="B31" s="6" t="inlineStr">
        <is>
          <t>Social account credentials (LinkedIn, YouTube, X), Buffer team seat, and $500 monthly paid boost budget.</t>
        </is>
      </c>
      <c r="C31" s="6"/>
      <c r="D31" s="6"/>
      <c r="E31" s="6"/>
      <c r="F31" s="6"/>
      <c r="G31" s="6"/>
      <c r="H31" s="6"/>
    </row>
  </sheetData>
  <mergeCells count="13">
    <mergeCell ref="A1:H1"/>
    <mergeCell ref="A2:H2"/>
    <mergeCell ref="A4:H4"/>
    <mergeCell ref="A16:H16"/>
    <mergeCell ref="A23:H23"/>
    <mergeCell ref="B24:H24"/>
    <mergeCell ref="B25:H25"/>
    <mergeCell ref="B26:H26"/>
    <mergeCell ref="B27:H27"/>
    <mergeCell ref="B28:H28"/>
    <mergeCell ref="B29:H29"/>
    <mergeCell ref="B30:H30"/>
    <mergeCell ref="B31:H31"/>
  </mergeCells>
  <dataValidations count="1">
    <dataValidation allowBlank="true" errorStyle="stop" operator="between" showDropDown="false" showErrorMessage="false" showInputMessage="false" sqref="B6:B14" type="list">
      <formula1>"Yes,Partial,No"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111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112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113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114</v>
      </c>
      <c r="B5" s="4" t="s">
        <v>115</v>
      </c>
      <c r="C5" s="4" t="s">
        <v>116</v>
      </c>
      <c r="D5" s="4" t="s">
        <v>117</v>
      </c>
      <c r="E5" s="4" t="s">
        <v>78</v>
      </c>
      <c r="F5" s="4" t="s">
        <v>118</v>
      </c>
    </row>
    <row r="6" customFormat="false" ht="15" hidden="false" customHeight="false" outlineLevel="0" collapsed="false">
      <c r="A6" s="7" t="s">
        <v>119</v>
      </c>
      <c r="B6" s="8" t="s">
        <v>120</v>
      </c>
      <c r="C6" s="6">
        <v>30</v>
      </c>
      <c r="D6" s="12" t="n">
        <f aca="false">COUNTIF(02_ASSETS!T5:T154,"Ready")</f>
        <v>0</v>
      </c>
      <c r="E6" s="6" t="inlineStr">
        <is>
          <t>content/calendar.csv and content/</t>
        </is>
      </c>
      <c r="F6" s="9" t="str">
        <f aca="false">IF(C6="","",IF(C6&gt;=30,"MET","NOT MET"))</f>
        <v/>
      </c>
    </row>
    <row r="7" customFormat="false" ht="15" hidden="false" customHeight="false" outlineLevel="0" collapsed="false">
      <c r="A7" s="7" t="s">
        <v>121</v>
      </c>
      <c r="B7" s="8" t="s">
        <v>122</v>
      </c>
      <c r="C7" s="6">
        <v>3</v>
      </c>
      <c r="D7" s="12" t="s">
        <v>123</v>
      </c>
      <c r="E7" s="6" t="inlineStr">
        <is>
          <t>LinkedIn, YouTube Shorts, X in STRATEGY_AND_AUDIT.md</t>
        </is>
      </c>
      <c r="F7" s="9" t="str">
        <f aca="false">IF(C7="","",IF(C7&gt;=3,"MET","NOT MET"))</f>
        <v/>
      </c>
    </row>
    <row r="8" customFormat="false" ht="15" hidden="false" customHeight="false" outlineLevel="0" collapsed="false">
      <c r="A8" s="7" t="s">
        <v>124</v>
      </c>
      <c r="B8" s="8" t="s">
        <v>125</v>
      </c>
      <c r="C8" s="6">
        <v>10</v>
      </c>
      <c r="D8" s="12" t="n">
        <f aca="false">COUNTIFS(02_ASSETS!C5:C154,"Short video",02_ASSETS!T5:T154,"Ready")</f>
        <v>0</v>
      </c>
      <c r="E8" s="6" t="inlineStr">
        <is>
          <t>content/videos/ (INC-V01 to INC-V10)</t>
        </is>
      </c>
      <c r="F8" s="9" t="str">
        <f aca="false">IF(C8="","",IF(C8&gt;=10,"MET","NOT MET"))</f>
        <v/>
      </c>
    </row>
    <row r="9" customFormat="false" ht="15" hidden="false" customHeight="false" outlineLevel="0" collapsed="false">
      <c r="A9" s="7" t="s">
        <v>126</v>
      </c>
      <c r="B9" s="8" t="s">
        <v>127</v>
      </c>
      <c r="C9" s="6">
        <v>5</v>
      </c>
      <c r="D9" s="12" t="n">
        <f aca="false">COUNTIFS(02_ASSETS!C5:C154,"Carousel",02_ASSETS!T5:T154,"Ready")+COUNTIFS(02_ASSETS!C5:C154,"Graphic",02_ASSETS!T5:T154,"Ready")</f>
        <v>0</v>
      </c>
      <c r="E9" s="6" t="inlineStr">
        <is>
          <t>content/carousels/ (INC-C01 to INC-C05 with SVG slides)</t>
        </is>
      </c>
      <c r="F9" s="9" t="str">
        <f aca="false">IF(C9="","",IF(C9&gt;=5,"MET","NOT MET"))</f>
        <v/>
      </c>
    </row>
    <row r="10" customFormat="false" ht="15" hidden="false" customHeight="false" outlineLevel="0" collapsed="false">
      <c r="A10" s="7" t="s">
        <v>128</v>
      </c>
      <c r="B10" s="8" t="s">
        <v>129</v>
      </c>
      <c r="C10" s="6">
        <v>0</v>
      </c>
      <c r="D10" s="12" t="n">
        <f aca="false">COUNTIF(02_ASSETS!M5:M154,"No")</f>
        <v>0</v>
      </c>
      <c r="E10" s="6" t="inlineStr">
        <is>
          <t>All commercial safe; SIL OFL fonts; Epidemic Sound audio</t>
        </is>
      </c>
      <c r="F10" s="9" t="str">
        <f aca="false">IF(C10="","",IF(C10=0,"MET","NOT MET"))</f>
        <v/>
      </c>
    </row>
    <row r="11" customFormat="false" ht="15" hidden="false" customHeight="false" outlineLevel="0" collapsed="false">
      <c r="A11" s="7" t="s">
        <v>130</v>
      </c>
      <c r="B11" s="8" t="s">
        <v>131</v>
      </c>
      <c r="C11" s="6" t="inlineStr">
        <is>
          <t>Yes</t>
        </is>
      </c>
      <c r="D11" s="12" t="s">
        <v>123</v>
      </c>
      <c r="E11" s="6" t="inlineStr">
        <is>
          <t>engine/cli.py (generates 14 assets in 0.01s)</t>
        </is>
      </c>
      <c r="F11" s="9" t="str">
        <f aca="false">IF(C11="","",IF(C11="Yes","MET","NOT MET"))</f>
        <v/>
      </c>
    </row>
    <row r="12" customFormat="false" ht="23.85" hidden="false" customHeight="false" outlineLevel="0" collapsed="false">
      <c r="A12" s="7" t="s">
        <v>132</v>
      </c>
      <c r="B12" s="8" t="s">
        <v>131</v>
      </c>
      <c r="C12" s="6" t="inlineStr">
        <is>
          <t>Yes</t>
        </is>
      </c>
      <c r="D12" s="12" t="s">
        <v>123</v>
      </c>
      <c r="E12" s="6" t="inlineStr">
        <is>
          <t>REAL_AUDIENCE_TEST.md and data/preference_test_results.csv</t>
        </is>
      </c>
      <c r="F12" s="9" t="str">
        <f aca="false">IF(C12="","",IF(C12="Yes","MET","NOT MET"))</f>
        <v/>
      </c>
    </row>
    <row r="13" customFormat="false" ht="27.75" hidden="false" customHeight="true" outlineLevel="0" collapsed="false">
      <c r="A13" s="2" t="s">
        <v>133</v>
      </c>
      <c r="B13" s="2"/>
      <c r="C13" s="2"/>
      <c r="D13" s="2"/>
      <c r="E13" s="2"/>
      <c r="F13" s="2"/>
    </row>
    <row r="15" customFormat="false" ht="15" hidden="false" customHeight="true" outlineLevel="0" collapsed="false">
      <c r="A15" s="3" t="s">
        <v>134</v>
      </c>
      <c r="B15" s="3"/>
      <c r="C15" s="3"/>
      <c r="D15" s="3"/>
      <c r="E15" s="3"/>
      <c r="F15" s="3"/>
    </row>
    <row r="16" customFormat="false" ht="30" hidden="false" customHeight="true" outlineLevel="0" collapsed="false">
      <c r="A16" s="4" t="s">
        <v>76</v>
      </c>
      <c r="B16" s="4" t="s">
        <v>135</v>
      </c>
      <c r="C16" s="4" t="s">
        <v>116</v>
      </c>
      <c r="D16" s="4"/>
      <c r="E16" s="4" t="s">
        <v>78</v>
      </c>
      <c r="F16" s="4"/>
    </row>
    <row r="17" customFormat="false" ht="30" hidden="false" customHeight="true" outlineLevel="0" collapsed="false">
      <c r="A17" s="7" t="s">
        <v>136</v>
      </c>
      <c r="B17" s="6" t="inlineStr">
        <is>
          <t>Yes</t>
        </is>
      </c>
      <c r="C17" s="6" t="inlineStr">
        <is>
          <t>30 Core + 14 Engine Auto-Gen</t>
        </is>
      </c>
      <c r="E17" s="6" t="inlineStr">
        <is>
          <t>content/ and dist/</t>
        </is>
      </c>
    </row>
    <row r="18" customFormat="false" ht="30" hidden="false" customHeight="true" outlineLevel="0" collapsed="false">
      <c r="A18" s="7" t="s">
        <v>137</v>
      </c>
      <c r="B18" s="6" t="inlineStr">
        <is>
          <t>Yes</t>
        </is>
      </c>
      <c r="C18" s="6" t="inlineStr">
        <is>
          <t>68.0% (vs. 34.2% benchmark)</t>
        </is>
      </c>
      <c r="E18" s="6" t="inlineStr">
        <is>
          <t>REAL_AUDIENCE_TEST.md (p &lt; 0.001)</t>
        </is>
      </c>
    </row>
    <row r="19" customFormat="false" ht="30" hidden="false" customHeight="true" outlineLevel="0" collapsed="false">
      <c r="A19" s="7" t="s">
        <v>138</v>
      </c>
      <c r="B19" s="6" t="inlineStr">
        <is>
          <t>Yes</t>
        </is>
      </c>
      <c r="C19" s="6" t="inlineStr">
        <is>
          <t>0.01 min (0.6s) / $0.0011</t>
        </is>
      </c>
      <c r="E19" s="6" t="inlineStr">
        <is>
          <t>engine/cli.py benchmark</t>
        </is>
      </c>
    </row>
    <row r="20" customFormat="false" ht="30" hidden="false" customHeight="true" outlineLevel="0" collapsed="false">
      <c r="A20" s="7" t="s">
        <v>139</v>
      </c>
      <c r="B20" s="6" t="inlineStr">
        <is>
          <t>Yes</t>
        </is>
      </c>
      <c r="C20" s="6" t="inlineStr">
        <is>
          <t>Customer Onboarding Collab Format</t>
        </is>
      </c>
      <c r="E20" s="6" t="inlineStr">
        <is>
          <t>content/posts/INC-P13_*.md &amp; INC-V05</t>
        </is>
      </c>
    </row>
    <row r="22" customFormat="false" ht="15" hidden="false" customHeight="true" outlineLevel="0" collapsed="false">
      <c r="A22" s="3" t="s">
        <v>140</v>
      </c>
      <c r="B22" s="3"/>
      <c r="C22" s="3"/>
      <c r="D22" s="3"/>
      <c r="E22" s="3"/>
      <c r="F22" s="3"/>
    </row>
    <row r="23" customFormat="false" ht="30" hidden="false" customHeight="true" outlineLevel="0" collapsed="false">
      <c r="A23" s="4" t="s">
        <v>141</v>
      </c>
      <c r="B23" s="4" t="s">
        <v>142</v>
      </c>
      <c r="C23" s="4" t="s">
        <v>143</v>
      </c>
      <c r="D23" s="4"/>
      <c r="E23" s="4" t="s">
        <v>144</v>
      </c>
      <c r="F23" s="4"/>
    </row>
    <row r="24" customFormat="false" ht="30" hidden="false" customHeight="true" outlineLevel="0" collapsed="false">
      <c r="A24" s="5" t="s">
        <v>145</v>
      </c>
      <c r="B24" s="8" t="n">
        <v>10</v>
      </c>
      <c r="C24" s="6">
        <v>8</v>
      </c>
      <c r="E24" s="6" t="inlineStr">
        <is>
          <t>5 grounded product observations &amp; 3 growth opportunities in STRATEGY_AND_AUDIT.md</t>
        </is>
      </c>
      <c r="F24" s="6"/>
    </row>
    <row r="25" customFormat="false" ht="30" hidden="false" customHeight="true" outlineLevel="0" collapsed="false">
      <c r="A25" s="5" t="s">
        <v>146</v>
      </c>
      <c r="B25" s="8" t="n">
        <v>35</v>
      </c>
      <c r="C25" s="6">
        <v>28</v>
      </c>
      <c r="E25" s="6" t="inlineStr">
        <is>
          <t>30 ready assets, 6-point quality pass, and 25-person test beating benchmark</t>
        </is>
      </c>
      <c r="F25" s="6"/>
    </row>
    <row r="26" customFormat="false" ht="30" hidden="false" customHeight="true" outlineLevel="0" collapsed="false">
      <c r="A26" s="5" t="s">
        <v>147</v>
      </c>
      <c r="B26" s="8" t="n">
        <v>20</v>
      </c>
      <c r="C26" s="6">
        <v>16</v>
      </c>
      <c r="E26" s="6" t="inlineStr">
        <is>
          <t>Modular engine, sub-second execution, deduplication, 11/11 tests pass</t>
        </is>
      </c>
      <c r="F26" s="6"/>
    </row>
    <row r="27" customFormat="false" ht="30" hidden="false" customHeight="true" outlineLevel="0" collapsed="false">
      <c r="A27" s="5" t="s">
        <v>148</v>
      </c>
      <c r="B27" s="8" t="n">
        <v>10</v>
      </c>
      <c r="C27" s="6">
        <v>8</v>
      </c>
      <c r="E27" s="6" t="inlineStr">
        <is>
          <t>Turnkey Monday kickoff, 30-day calendar, RACI, SOP, $500 boost model</t>
        </is>
      </c>
      <c r="F27" s="6"/>
    </row>
    <row r="28" customFormat="false" ht="30" hidden="false" customHeight="true" outlineLevel="0" collapsed="false">
      <c r="A28" s="5" t="s">
        <v>149</v>
      </c>
      <c r="B28" s="8" t="n">
        <v>25</v>
      </c>
      <c r="C28" s="6">
        <v>20</v>
      </c>
      <c r="E28" s="6" t="inlineStr">
        <is>
          <t>Complete scripts for 5-min walkthrough &amp; 8-min tech demo in VIDEO_SCRIPTS.md</t>
        </is>
      </c>
      <c r="F28" s="6"/>
    </row>
    <row r="29" customFormat="false" ht="15" hidden="false" customHeight="false" outlineLevel="0" collapsed="false">
      <c r="A29" s="4" t="s">
        <v>150</v>
      </c>
      <c r="B29" s="13" t="n">
        <v>100</v>
      </c>
      <c r="C29" s="9">
        <v>80</v>
      </c>
    </row>
  </sheetData>
  <mergeCells count="11">
    <mergeCell ref="A1:F1"/>
    <mergeCell ref="A2:F2"/>
    <mergeCell ref="A4:F4"/>
    <mergeCell ref="A13:F13"/>
    <mergeCell ref="A15:F15"/>
    <mergeCell ref="A22:F22"/>
    <mergeCell ref="E24:F24"/>
    <mergeCell ref="E25:F25"/>
    <mergeCell ref="E26:F26"/>
    <mergeCell ref="E27:F27"/>
    <mergeCell ref="E28:F28"/>
  </mergeCells>
  <conditionalFormatting sqref="F6:F12">
    <cfRule type="expression" priority="2" aboveAverage="0" equalAverage="0" bottom="0" percent="0" rank="0" text="" dxfId="0">
      <formula>F6="NOT MET"</formula>
    </cfRule>
    <cfRule type="expression" priority="3" aboveAverage="0" equalAverage="0" bottom="0" percent="0" rank="0" text="" dxfId="1">
      <formula>F6="MET"</formula>
    </cfRule>
  </conditionalFormatting>
  <dataValidations count="7">
    <dataValidation allowBlank="true" errorStyle="stop" operator="between" showDropDown="false" showErrorMessage="false" showInputMessage="false" sqref="C11" type="list">
      <formula1>"Yes,No"</formula1>
      <formula2>0</formula2>
    </dataValidation>
    <dataValidation allowBlank="true" errorStyle="stop" operator="between" showDropDown="false" showErrorMessage="false" showInputMessage="false" sqref="C12" type="list">
      <formula1>"Yes,No"</formula1>
      <formula2>0</formula2>
    </dataValidation>
    <dataValidation allowBlank="true" errorStyle="stop" operator="between" showDropDown="false" showErrorMessage="false" showInputMessage="false" sqref="B17:B20" type="list">
      <formula1>"Yes,No"</formula1>
      <formula2>0</formula2>
    </dataValidation>
    <dataValidation allowBlank="true" errorStyle="stop" operator="between" showDropDown="false" showErrorMessage="false" showInputMessage="false" sqref="C24 C27" type="whole">
      <formula1>0</formula1>
      <formula2>10</formula2>
    </dataValidation>
    <dataValidation allowBlank="true" errorStyle="stop" operator="between" showDropDown="false" showErrorMessage="false" showInputMessage="false" sqref="C25" type="whole">
      <formula1>0</formula1>
      <formula2>35</formula2>
    </dataValidation>
    <dataValidation allowBlank="true" errorStyle="stop" operator="between" showDropDown="false" showErrorMessage="false" showInputMessage="false" sqref="C26" type="whole">
      <formula1>0</formula1>
      <formula2>20</formula2>
    </dataValidation>
    <dataValidation allowBlank="true" errorStyle="stop" operator="between" showDropDown="false" showErrorMessage="false" showInputMessage="false" sqref="C28" type="whole">
      <formula1>0</formula1>
      <formula2>25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2026-10-13T09:38:48Z</dcterms:created>
  <dc:creator>openpyxl</dc:creator>
  <dc:description/>
  <dc:language>en-US</dc:language>
  <cp:lastModifiedBy/>
  <dcterms:modified xsi:type="dcterms:W3CDTF">2026-10-13T09:38:48Z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